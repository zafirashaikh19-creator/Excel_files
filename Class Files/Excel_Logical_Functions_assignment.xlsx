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E4DD795B-8BE9-46F6-8E53-C780538A8CF5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📋 Employee Dataset" sheetId="1" r:id="rId1"/>
    <sheet name="🔀 IF Function" sheetId="2" r:id="rId2"/>
    <sheet name="🔢 Nested IF &amp; IFS" sheetId="3" r:id="rId3"/>
    <sheet name="⚡ AND, OR, NOT" sheetId="4" r:id="rId4"/>
    <sheet name="🛡️ IFERROR &amp; IFNA" sheetId="5" r:id="rId5"/>
    <sheet name="📊 COUNTIF, SUMIF, AVGIF" sheetId="6" r:id="rId6"/>
    <sheet name="🔀 COUNTIFS, SUMIFS, AVGIFS" sheetId="7" r:id="rId7"/>
    <sheet name="🔄 SWITCH &amp; CHOOSE" sheetId="8" r:id="rId8"/>
    <sheet name="✏️ Practice Exercises" sheetId="9" r:id="rId9"/>
    <sheet name="📌 Quick Reference" sheetId="10" r:id="rId10"/>
  </sheets>
  <definedNames>
    <definedName name="_xlnm._FilterDatabase" localSheetId="0" hidden="1">'📋 Employee Dataset'!$A$2:$L$27</definedName>
    <definedName name="Age">'📋 Employee Dataset'!$D$3:$D$27</definedName>
    <definedName name="Department">'📋 Employee Dataset'!$C$3:$C$27</definedName>
    <definedName name="empid">'📋 Employee Dataset'!$A$3:$A$27</definedName>
    <definedName name="Gender">'📋 Employee Dataset'!$I$3:$I$27</definedName>
    <definedName name="HELLO">LAMBDA(name, _xldudf_BOARDFLARE_EXEC("hello", name))</definedName>
    <definedName name="Region">'📋 Employee Dataset'!$H$3:$H$27</definedName>
    <definedName name="Salary">'📋 Employee Dataset'!$E$3:$E$27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7" l="1"/>
  <c r="G7" i="7"/>
  <c r="G8" i="7"/>
  <c r="G5" i="7"/>
  <c r="Q8" i="1"/>
  <c r="F6" i="7"/>
  <c r="F7" i="7"/>
  <c r="F8" i="7"/>
  <c r="F5" i="7"/>
  <c r="E8" i="7"/>
  <c r="E7" i="7"/>
  <c r="E6" i="7"/>
  <c r="E5" i="7"/>
  <c r="G22" i="5"/>
  <c r="F22" i="5"/>
  <c r="G18" i="5"/>
  <c r="G19" i="5"/>
  <c r="G20" i="5"/>
  <c r="G21" i="5"/>
  <c r="G23" i="5"/>
  <c r="G24" i="5"/>
  <c r="G25" i="5"/>
  <c r="G26" i="5"/>
  <c r="G27" i="5"/>
  <c r="G28" i="5"/>
  <c r="G17" i="5"/>
  <c r="J5" i="6"/>
  <c r="H5" i="6"/>
  <c r="G5" i="6"/>
  <c r="I5" i="6" s="1"/>
  <c r="J7" i="6"/>
  <c r="J6" i="6"/>
  <c r="H7" i="6"/>
  <c r="H6" i="6"/>
  <c r="C5" i="6"/>
  <c r="G7" i="6"/>
  <c r="G6" i="6"/>
  <c r="E6" i="6"/>
  <c r="E7" i="6"/>
  <c r="E8" i="6"/>
  <c r="E5" i="6"/>
  <c r="B6" i="6"/>
  <c r="B7" i="6"/>
  <c r="B8" i="6"/>
  <c r="C8" i="6"/>
  <c r="D8" i="6" s="1"/>
  <c r="C7" i="6"/>
  <c r="C6" i="6"/>
  <c r="B14" i="6"/>
  <c r="B13" i="6"/>
  <c r="G14" i="3" a="1"/>
  <c r="G14" i="3" s="1"/>
  <c r="B5" i="6"/>
  <c r="B12" i="6"/>
  <c r="F11" i="5"/>
  <c r="F5" i="5"/>
  <c r="F6" i="5"/>
  <c r="F7" i="5"/>
  <c r="F8" i="5"/>
  <c r="F9" i="5"/>
  <c r="F10" i="5"/>
  <c r="F12" i="5"/>
  <c r="F13" i="5"/>
  <c r="F14" i="5"/>
  <c r="F15" i="5"/>
  <c r="F16" i="5"/>
  <c r="F17" i="5"/>
  <c r="F18" i="5"/>
  <c r="F19" i="5"/>
  <c r="F20" i="5"/>
  <c r="F21" i="5"/>
  <c r="F23" i="5"/>
  <c r="F24" i="5"/>
  <c r="F25" i="5"/>
  <c r="F26" i="5"/>
  <c r="F27" i="5"/>
  <c r="F28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4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4" i="4"/>
  <c r="H5" i="3" a="1"/>
  <c r="H5" i="3" s="1"/>
  <c r="H6" i="3" a="1"/>
  <c r="H6" i="3"/>
  <c r="H7" i="3" a="1"/>
  <c r="H7" i="3" s="1"/>
  <c r="H8" i="3" a="1"/>
  <c r="H8" i="3"/>
  <c r="H9" i="3" a="1"/>
  <c r="H9" i="3" s="1"/>
  <c r="H10" i="3" a="1"/>
  <c r="H10" i="3"/>
  <c r="H11" i="3" a="1"/>
  <c r="H11" i="3" s="1"/>
  <c r="H12" i="3" a="1"/>
  <c r="H12" i="3"/>
  <c r="H13" i="3" a="1"/>
  <c r="H13" i="3" s="1"/>
  <c r="H14" i="3" a="1"/>
  <c r="H14" i="3"/>
  <c r="H15" i="3" a="1"/>
  <c r="H15" i="3" s="1"/>
  <c r="H16" i="3" a="1"/>
  <c r="H16" i="3"/>
  <c r="H17" i="3" a="1"/>
  <c r="H17" i="3" s="1"/>
  <c r="H18" i="3" a="1"/>
  <c r="H18" i="3"/>
  <c r="H19" i="3" a="1"/>
  <c r="H19" i="3" s="1"/>
  <c r="H20" i="3" a="1"/>
  <c r="H20" i="3"/>
  <c r="H21" i="3" a="1"/>
  <c r="H21" i="3" s="1"/>
  <c r="H22" i="3" a="1"/>
  <c r="H22" i="3"/>
  <c r="H23" i="3" a="1"/>
  <c r="H23" i="3" s="1"/>
  <c r="H24" i="3" a="1"/>
  <c r="H24" i="3"/>
  <c r="H25" i="3" a="1"/>
  <c r="H25" i="3" s="1"/>
  <c r="H26" i="3" a="1"/>
  <c r="H26" i="3"/>
  <c r="H27" i="3" a="1"/>
  <c r="H27" i="3" s="1"/>
  <c r="H28" i="3" a="1"/>
  <c r="H28" i="3"/>
  <c r="H4" i="3" a="1"/>
  <c r="H4" i="3" s="1"/>
  <c r="G5" i="3" a="1"/>
  <c r="G5" i="3" s="1"/>
  <c r="G6" i="3" a="1"/>
  <c r="G6" i="3"/>
  <c r="G7" i="3" a="1"/>
  <c r="G7" i="3" s="1"/>
  <c r="G8" i="3" a="1"/>
  <c r="G8" i="3"/>
  <c r="G9" i="3" a="1"/>
  <c r="G9" i="3" s="1"/>
  <c r="G10" i="3" a="1"/>
  <c r="G10" i="3"/>
  <c r="G11" i="3" a="1"/>
  <c r="G11" i="3" s="1"/>
  <c r="G12" i="3" a="1"/>
  <c r="G12" i="3"/>
  <c r="G13" i="3" a="1"/>
  <c r="G13" i="3" s="1"/>
  <c r="G15" i="3" a="1"/>
  <c r="G15" i="3" s="1"/>
  <c r="G16" i="3" a="1"/>
  <c r="G16" i="3"/>
  <c r="G17" i="3" a="1"/>
  <c r="G17" i="3" s="1"/>
  <c r="G18" i="3" a="1"/>
  <c r="G18" i="3"/>
  <c r="G19" i="3" a="1"/>
  <c r="G19" i="3" s="1"/>
  <c r="G20" i="3" a="1"/>
  <c r="G20" i="3"/>
  <c r="G21" i="3" a="1"/>
  <c r="G21" i="3" s="1"/>
  <c r="G22" i="3" a="1"/>
  <c r="G22" i="3"/>
  <c r="G23" i="3" a="1"/>
  <c r="G23" i="3" s="1"/>
  <c r="G24" i="3" a="1"/>
  <c r="G24" i="3"/>
  <c r="G25" i="3" a="1"/>
  <c r="G25" i="3" s="1"/>
  <c r="G26" i="3" a="1"/>
  <c r="G26" i="3"/>
  <c r="G27" i="3" a="1"/>
  <c r="G27" i="3" s="1"/>
  <c r="G28" i="3" a="1"/>
  <c r="G28" i="3"/>
  <c r="G4" i="3" a="1"/>
  <c r="G4" i="3" s="1"/>
  <c r="F4" i="3" a="1"/>
  <c r="F4" i="3" s="1"/>
  <c r="F5" i="3" a="1"/>
  <c r="F5" i="3" s="1"/>
  <c r="F6" i="3" a="1"/>
  <c r="F6" i="3"/>
  <c r="F7" i="3" a="1"/>
  <c r="F7" i="3" s="1"/>
  <c r="F8" i="3" a="1"/>
  <c r="F8" i="3"/>
  <c r="F9" i="3" a="1"/>
  <c r="F9" i="3" s="1"/>
  <c r="F10" i="3" a="1"/>
  <c r="F10" i="3"/>
  <c r="F11" i="3" a="1"/>
  <c r="F11" i="3" s="1"/>
  <c r="F12" i="3" a="1"/>
  <c r="F12" i="3"/>
  <c r="F13" i="3" a="1"/>
  <c r="F13" i="3" s="1"/>
  <c r="F14" i="3" a="1"/>
  <c r="F14" i="3"/>
  <c r="F15" i="3" a="1"/>
  <c r="F15" i="3" s="1"/>
  <c r="F16" i="3" a="1"/>
  <c r="F16" i="3"/>
  <c r="F17" i="3" a="1"/>
  <c r="F17" i="3" s="1"/>
  <c r="F18" i="3" a="1"/>
  <c r="F18" i="3"/>
  <c r="F19" i="3" a="1"/>
  <c r="F19" i="3" s="1"/>
  <c r="F20" i="3" a="1"/>
  <c r="F20" i="3"/>
  <c r="F21" i="3" a="1"/>
  <c r="F21" i="3" s="1"/>
  <c r="F22" i="3" a="1"/>
  <c r="F22" i="3"/>
  <c r="F23" i="3" a="1"/>
  <c r="F23" i="3" s="1"/>
  <c r="F24" i="3" a="1"/>
  <c r="F24" i="3"/>
  <c r="F25" i="3" a="1"/>
  <c r="F25" i="3" s="1"/>
  <c r="F26" i="3" a="1"/>
  <c r="F26" i="3"/>
  <c r="F27" i="3" a="1"/>
  <c r="F27" i="3" s="1"/>
  <c r="F28" i="3" a="1"/>
  <c r="F28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4" i="2"/>
  <c r="N3" i="1" a="1"/>
  <c r="N3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H5" i="8" a="1"/>
  <c r="H5" i="8" s="1"/>
  <c r="H6" i="8" a="1"/>
  <c r="H6" i="8"/>
  <c r="H7" i="8" a="1"/>
  <c r="H7" i="8" s="1"/>
  <c r="H8" i="8" a="1"/>
  <c r="H8" i="8"/>
  <c r="H9" i="8" a="1"/>
  <c r="H9" i="8" s="1"/>
  <c r="H10" i="8" a="1"/>
  <c r="H10" i="8"/>
  <c r="H11" i="8" a="1"/>
  <c r="H11" i="8" s="1"/>
  <c r="H12" i="8" a="1"/>
  <c r="H12" i="8"/>
  <c r="H13" i="8" a="1"/>
  <c r="H13" i="8" s="1"/>
  <c r="H14" i="8" a="1"/>
  <c r="H14" i="8"/>
  <c r="H15" i="8" a="1"/>
  <c r="H15" i="8" s="1"/>
  <c r="H16" i="8" a="1"/>
  <c r="H16" i="8"/>
  <c r="H17" i="8" a="1"/>
  <c r="H17" i="8" s="1"/>
  <c r="H18" i="8" a="1"/>
  <c r="H18" i="8"/>
  <c r="H19" i="8" a="1"/>
  <c r="H19" i="8" s="1"/>
  <c r="H20" i="8" a="1"/>
  <c r="H20" i="8"/>
  <c r="H21" i="8" a="1"/>
  <c r="H21" i="8" s="1"/>
  <c r="H22" i="8" a="1"/>
  <c r="H22" i="8"/>
  <c r="H23" i="8" a="1"/>
  <c r="H23" i="8" s="1"/>
  <c r="H24" i="8" a="1"/>
  <c r="H24" i="8"/>
  <c r="H25" i="8" a="1"/>
  <c r="H25" i="8" s="1"/>
  <c r="H26" i="8" a="1"/>
  <c r="H26" i="8"/>
  <c r="H27" i="8" a="1"/>
  <c r="H27" i="8" s="1"/>
  <c r="H28" i="8" a="1"/>
  <c r="H28" i="8"/>
  <c r="H4" i="8" a="1"/>
  <c r="H4" i="8" s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4" i="8"/>
  <c r="F5" i="8" a="1"/>
  <c r="F5" i="8"/>
  <c r="F6" i="8" a="1"/>
  <c r="F6" i="8"/>
  <c r="F7" i="8" a="1"/>
  <c r="F7" i="8"/>
  <c r="F8" i="8" a="1"/>
  <c r="F8" i="8" s="1"/>
  <c r="F9" i="8" a="1"/>
  <c r="F9" i="8"/>
  <c r="F10" i="8" a="1"/>
  <c r="F10" i="8"/>
  <c r="F11" i="8" a="1"/>
  <c r="F11" i="8"/>
  <c r="F12" i="8" a="1"/>
  <c r="F12" i="8"/>
  <c r="F13" i="8" a="1"/>
  <c r="F13" i="8"/>
  <c r="F14" i="8" a="1"/>
  <c r="F14" i="8"/>
  <c r="F15" i="8" a="1"/>
  <c r="F15" i="8"/>
  <c r="F16" i="8" a="1"/>
  <c r="F16" i="8"/>
  <c r="F17" i="8" a="1"/>
  <c r="F17" i="8"/>
  <c r="F18" i="8" a="1"/>
  <c r="F18" i="8"/>
  <c r="F19" i="8" a="1"/>
  <c r="F19" i="8"/>
  <c r="F20" i="8" a="1"/>
  <c r="F20" i="8"/>
  <c r="F21" i="8" a="1"/>
  <c r="F21" i="8"/>
  <c r="F22" i="8" a="1"/>
  <c r="F22" i="8"/>
  <c r="F23" i="8" a="1"/>
  <c r="F23" i="8"/>
  <c r="F24" i="8" a="1"/>
  <c r="F24" i="8"/>
  <c r="F25" i="8" a="1"/>
  <c r="F25" i="8"/>
  <c r="F26" i="8" a="1"/>
  <c r="F26" i="8"/>
  <c r="F27" i="8" a="1"/>
  <c r="F27" i="8" s="1"/>
  <c r="F28" i="8" a="1"/>
  <c r="F28" i="8"/>
  <c r="F4" i="8" a="1"/>
  <c r="F4" i="8" s="1"/>
  <c r="I7" i="6" l="1"/>
  <c r="D6" i="6"/>
  <c r="D5" i="6"/>
  <c r="D7" i="6"/>
  <c r="I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<sst xmlns="http://schemas.openxmlformats.org/spreadsheetml/2006/main" count="905" uniqueCount="314">
  <si>
    <t>🏢  Employee Dataset  —  Use this data across all practice sheets</t>
  </si>
  <si>
    <t>Emp ID</t>
  </si>
  <si>
    <t>Name</t>
  </si>
  <si>
    <t>Department</t>
  </si>
  <si>
    <t>Age</t>
  </si>
  <si>
    <t>Salary</t>
  </si>
  <si>
    <t>Years Exp</t>
  </si>
  <si>
    <t>Performance</t>
  </si>
  <si>
    <t>Region</t>
  </si>
  <si>
    <t>Gender</t>
  </si>
  <si>
    <t>Bonus %</t>
  </si>
  <si>
    <t>Projects Done</t>
  </si>
  <si>
    <t>Active?</t>
  </si>
  <si>
    <t>E001</t>
  </si>
  <si>
    <t>Alice Johnson</t>
  </si>
  <si>
    <t>HR</t>
  </si>
  <si>
    <t>Excellent</t>
  </si>
  <si>
    <t>North</t>
  </si>
  <si>
    <t>F</t>
  </si>
  <si>
    <t>Yes</t>
  </si>
  <si>
    <t>E002</t>
  </si>
  <si>
    <t>Bob Smith</t>
  </si>
  <si>
    <t>IT</t>
  </si>
  <si>
    <t>Good</t>
  </si>
  <si>
    <t>South</t>
  </si>
  <si>
    <t>M</t>
  </si>
  <si>
    <t>E003</t>
  </si>
  <si>
    <t>Carol White</t>
  </si>
  <si>
    <t>Finance</t>
  </si>
  <si>
    <t>East</t>
  </si>
  <si>
    <t>E004</t>
  </si>
  <si>
    <t>David Brown</t>
  </si>
  <si>
    <t>Average</t>
  </si>
  <si>
    <t>West</t>
  </si>
  <si>
    <t>E005</t>
  </si>
  <si>
    <t>Eva Green</t>
  </si>
  <si>
    <t>Marketing</t>
  </si>
  <si>
    <t>E006</t>
  </si>
  <si>
    <t>Frank Lee</t>
  </si>
  <si>
    <t>No</t>
  </si>
  <si>
    <t>E007</t>
  </si>
  <si>
    <t>Grace Kim</t>
  </si>
  <si>
    <t>E008</t>
  </si>
  <si>
    <t>Henry Davis</t>
  </si>
  <si>
    <t>E009</t>
  </si>
  <si>
    <t>Isla Martin</t>
  </si>
  <si>
    <t>E010</t>
  </si>
  <si>
    <t>Jack Wilson</t>
  </si>
  <si>
    <t>E011</t>
  </si>
  <si>
    <t>Karen Taylor</t>
  </si>
  <si>
    <t>E012</t>
  </si>
  <si>
    <t>Liam Moore</t>
  </si>
  <si>
    <t>E013</t>
  </si>
  <si>
    <t>Mia Anderson</t>
  </si>
  <si>
    <t>E014</t>
  </si>
  <si>
    <t>Noah Thomas</t>
  </si>
  <si>
    <t>E015</t>
  </si>
  <si>
    <t>Olivia Harris</t>
  </si>
  <si>
    <t>E016</t>
  </si>
  <si>
    <t>Peter Clark</t>
  </si>
  <si>
    <t>E017</t>
  </si>
  <si>
    <t>Quinn Lewis</t>
  </si>
  <si>
    <t>E018</t>
  </si>
  <si>
    <t>Ryan Walker</t>
  </si>
  <si>
    <t>E019</t>
  </si>
  <si>
    <t>Sara Hall</t>
  </si>
  <si>
    <t>E020</t>
  </si>
  <si>
    <t>Tom Young</t>
  </si>
  <si>
    <t>E021</t>
  </si>
  <si>
    <t>Uma Scott</t>
  </si>
  <si>
    <t>E022</t>
  </si>
  <si>
    <t>Victor King</t>
  </si>
  <si>
    <t>E023</t>
  </si>
  <si>
    <t>Wendy Wright</t>
  </si>
  <si>
    <t>E024</t>
  </si>
  <si>
    <t>Xander Lopez</t>
  </si>
  <si>
    <t>E025</t>
  </si>
  <si>
    <t>Yara Hill</t>
  </si>
  <si>
    <t>🔀  IF Function  —  Syntax: =IF(logical_test, value_if_true, value_if_false)</t>
  </si>
  <si>
    <t>📌  The IF function checks a condition and returns one value if TRUE, another if FALSE.  It is the foundation of all logical functions in Excel.</t>
  </si>
  <si>
    <t>Senior? (IF)</t>
  </si>
  <si>
    <t>Bonus Category</t>
  </si>
  <si>
    <t>Performance Tag</t>
  </si>
  <si>
    <t>🔢  Nested IF &amp; IFS  —  Multiple conditions in sequence</t>
  </si>
  <si>
    <t>📌  Nested IF stacks multiple IF functions.  IFS (Excel 2019+) is cleaner for 3+ conditions.  Both evaluate conditions top-to-bottom and stop at the first TRUE.</t>
  </si>
  <si>
    <t>Grade (Nested IF)</t>
  </si>
  <si>
    <t>Salary Band (IFS)</t>
  </si>
  <si>
    <t>Appraisal Note</t>
  </si>
  <si>
    <t>⚡  AND, OR, NOT  —  Combine or invert multiple logical conditions</t>
  </si>
  <si>
    <t>📌  AND → all conditions must be TRUE  |  OR → at least one must be TRUE  |  NOT → reverses TRUE/FALSE  |  Combine them with IF for powerful logic.</t>
  </si>
  <si>
    <t>AND: Eligible?</t>
  </si>
  <si>
    <t>OR: Flag?</t>
  </si>
  <si>
    <t>NOT + IF Result</t>
  </si>
  <si>
    <t>🛡️  IFERROR &amp; IFNA  —  Handle errors gracefully in formulas</t>
  </si>
  <si>
    <t>📌  IFERROR catches ALL errors. IFNA catches only #N/A. Intentional error demo in column E.</t>
  </si>
  <si>
    <t>Projects</t>
  </si>
  <si>
    <t>Salary/Project (Raw)</t>
  </si>
  <si>
    <t>IFERROR Version</t>
  </si>
  <si>
    <t>IFNA + VLOOKUP</t>
  </si>
  <si>
    <t>📊  COUNTIF, SUMIF, AVERAGEIF  —  Aggregate data with one condition</t>
  </si>
  <si>
    <t>📌  COUNTIF counts rows matching a criterion  |  SUMIF sums matching values  |  AVERAGEIF averages matching values  |  Criteria can be text, numbers, or wildcards (*, ?).</t>
  </si>
  <si>
    <t>Department Summary</t>
  </si>
  <si>
    <t>Performance Summary</t>
  </si>
  <si>
    <t>Count</t>
  </si>
  <si>
    <t>Total Salary</t>
  </si>
  <si>
    <t>Avg Salary</t>
  </si>
  <si>
    <t>Avg Projects</t>
  </si>
  <si>
    <t>Avg Exp</t>
  </si>
  <si>
    <t>🔍  Wildcard &amp; Comparison Criteria Examples</t>
  </si>
  <si>
    <t>Description</t>
  </si>
  <si>
    <t>Formula Used</t>
  </si>
  <si>
    <t>Count employees with name starting with "A"</t>
  </si>
  <si>
    <t>Count salaries &gt; 80,000</t>
  </si>
  <si>
    <t>Sum salaries between 60k-80k (using SUMIFS)</t>
  </si>
  <si>
    <t>🔀  COUNTIFS, SUMIFS, AVERAGEIFS  —  Multiple conditions at once</t>
  </si>
  <si>
    <t>📌  The 'S' versions accept multiple criteria ranges.  All criteria must be met simultaneously (like AND logic).  Ranges must be the same size.</t>
  </si>
  <si>
    <t>Multi-Condition Analysis</t>
  </si>
  <si>
    <t>Dept</t>
  </si>
  <si>
    <t>Active</t>
  </si>
  <si>
    <t>COUNTIFS</t>
  </si>
  <si>
    <t>SUMIFS Salary</t>
  </si>
  <si>
    <t>AVGIFS Exp</t>
  </si>
  <si>
    <t>🔄  SWITCH &amp; CHOOSE  —  Select from a list of values or cases</t>
  </si>
  <si>
    <t>📌  SWITCH compares an expression against a list of values — cleaner than nested IF for exact matches.  CHOOSE returns the Nth value from a list — great for mapping numbers to labels.</t>
  </si>
  <si>
    <t>Perf Score #</t>
  </si>
  <si>
    <t>SWITCH: Dept Code</t>
  </si>
  <si>
    <t>CHOOSE: Perf Label</t>
  </si>
  <si>
    <t>SWITCH: Region Flag</t>
  </si>
  <si>
    <t>✏️  Practice Exercises  —  Write your own formulas in the yellow cells!</t>
  </si>
  <si>
    <t>📌  Type your formula in each yellow cell.  The answer is hidden — use the other sheets to verify.  All formulas reference '📋 Employee Dataset'.</t>
  </si>
  <si>
    <t xml:space="preserve">  ✦  IF Functions</t>
  </si>
  <si>
    <t>Q1</t>
  </si>
  <si>
    <t>Using IF: Label each employee 'High Earner' if Salary &gt; 75000, else 'Standard'</t>
  </si>
  <si>
    <t>← Type your formula here</t>
  </si>
  <si>
    <t>⭐ Easy</t>
  </si>
  <si>
    <t>Q2</t>
  </si>
  <si>
    <t>Using IF: Show 'Active' if Active? column is 'Yes', otherwise show 'Inactive'</t>
  </si>
  <si>
    <t xml:space="preserve">  ✦  Nested IF Functions</t>
  </si>
  <si>
    <t>Q3</t>
  </si>
  <si>
    <t>Assign tax brackets: Salary ≥90k → 'High Tax', ≥65k → 'Mid Tax', else 'Low Tax'</t>
  </si>
  <si>
    <t>⭐⭐ Medium</t>
  </si>
  <si>
    <t xml:space="preserve">  ✦  AND Functions</t>
  </si>
  <si>
    <t>Q4</t>
  </si>
  <si>
    <t>Flag employees who are in IT AND have Excellent performance</t>
  </si>
  <si>
    <t xml:space="preserve">  ✦  OR Functions</t>
  </si>
  <si>
    <t>Q5</t>
  </si>
  <si>
    <t>Mark 'Review' if Salary &lt; 60000 OR Years Exp &lt; 3</t>
  </si>
  <si>
    <t xml:space="preserve">  ✦  NOT Functions</t>
  </si>
  <si>
    <t>Q6</t>
  </si>
  <si>
    <t>Show 'Available for Project' if the employee is NOT inactive (Active?=No)</t>
  </si>
  <si>
    <t xml:space="preserve">  ✦  IFERROR Functions</t>
  </si>
  <si>
    <t>Q7</t>
  </si>
  <si>
    <t>Divide Salary by Projects Done, show 'N/A' on error</t>
  </si>
  <si>
    <t xml:space="preserve">  ✦  COUNTIF Functions</t>
  </si>
  <si>
    <t>Q8</t>
  </si>
  <si>
    <t>Count total employees in the Finance department</t>
  </si>
  <si>
    <t xml:space="preserve">  ✦  SUMIF Functions</t>
  </si>
  <si>
    <t>Q9</t>
  </si>
  <si>
    <t>Sum all salaries for Marketing employees</t>
  </si>
  <si>
    <t xml:space="preserve">  ✦  AVERAGEIF Functions</t>
  </si>
  <si>
    <t>Q10</t>
  </si>
  <si>
    <t>Average salary of employees with 'Excellent' performance</t>
  </si>
  <si>
    <t xml:space="preserve">  ✦  COUNTIFS Functions</t>
  </si>
  <si>
    <t>Q11</t>
  </si>
  <si>
    <t>Count employees in IT with Good OR Excellent performance AND Active=Yes</t>
  </si>
  <si>
    <t>⭐⭐⭐ Hard</t>
  </si>
  <si>
    <t xml:space="preserve">  ✦  SUMIFS Functions</t>
  </si>
  <si>
    <t>Q12</t>
  </si>
  <si>
    <t>Sum salaries of Excellent performers in the North region</t>
  </si>
  <si>
    <t xml:space="preserve">  ✦  IFS Functions</t>
  </si>
  <si>
    <t>Q13</t>
  </si>
  <si>
    <t>Using IFS: Assign 'Band A' if Salary≥90k, 'Band B' if ≥70k, else 'Band C'</t>
  </si>
  <si>
    <t xml:space="preserve">  ✦  SWITCH Functions</t>
  </si>
  <si>
    <t>Q14</t>
  </si>
  <si>
    <t>Using SWITCH: Map Department to short codes (HR→H, IT→I, Finance→F, Marketing→M)</t>
  </si>
  <si>
    <t xml:space="preserve">  ✦  CHOOSE Functions</t>
  </si>
  <si>
    <t>Q15</t>
  </si>
  <si>
    <t>Map the numeric Performance Score (1=Excellent,2=Good,3=Average) to star ratings ⭐⭐⭐, ⭐⭐, ⭐</t>
  </si>
  <si>
    <t>📌  Excel Logical Functions — Quick Reference Card</t>
  </si>
  <si>
    <t>Function</t>
  </si>
  <si>
    <t>Syntax</t>
  </si>
  <si>
    <t>Purpose</t>
  </si>
  <si>
    <t>Returns</t>
  </si>
  <si>
    <t>Since</t>
  </si>
  <si>
    <t>Example</t>
  </si>
  <si>
    <t>IF</t>
  </si>
  <si>
    <t>'=IF(test, TRUE(), FALSE())</t>
  </si>
  <si>
    <t>Test one condition</t>
  </si>
  <si>
    <t>Any value</t>
  </si>
  <si>
    <t>Excel 97</t>
  </si>
  <si>
    <t>'=IF(A1&gt;0,"Pos","Neg")</t>
  </si>
  <si>
    <t>IFS</t>
  </si>
  <si>
    <t>'=ifs(T1,V1, T2,V2, ...)</t>
  </si>
  <si>
    <t>Test multiple conditions in order</t>
  </si>
  <si>
    <t>2019+</t>
  </si>
  <si>
    <t>'=ifs(A1&gt;90,"A",A1&gt;80,"B","C")</t>
  </si>
  <si>
    <t>AND</t>
  </si>
  <si>
    <t>'=AND(cond1, cond2, ...)</t>
  </si>
  <si>
    <t>All conditions must be TRUE</t>
  </si>
  <si>
    <t>TRUE/FALSE</t>
  </si>
  <si>
    <t>'=AND(A1&gt;0,B1&lt;10)</t>
  </si>
  <si>
    <t>OR</t>
  </si>
  <si>
    <t>'=OR(cond1, cond2, ...)</t>
  </si>
  <si>
    <t>At least one must be TRUE</t>
  </si>
  <si>
    <t>'=OR(A1="Yes",B1="Yes")</t>
  </si>
  <si>
    <t>NOT</t>
  </si>
  <si>
    <t>'=NOT(condition)</t>
  </si>
  <si>
    <t>Inverts TRUE↔FALSE</t>
  </si>
  <si>
    <t>'=NOT(A1="No")</t>
  </si>
  <si>
    <t>IFERROR</t>
  </si>
  <si>
    <t>'=IFERROR(value, value_if_error)</t>
  </si>
  <si>
    <t>Catch any formula error</t>
  </si>
  <si>
    <t>2007+</t>
  </si>
  <si>
    <t>'=IFERROR(A1/B1,0)</t>
  </si>
  <si>
    <t>IFNA</t>
  </si>
  <si>
    <t>'=ifna(value, value_if_na)</t>
  </si>
  <si>
    <t>Catch only #N/A errors</t>
  </si>
  <si>
    <t>2013+</t>
  </si>
  <si>
    <t>'=ifna(VLOOKUP(A1,B:C,2,0),"NF")</t>
  </si>
  <si>
    <t>COUNTIF</t>
  </si>
  <si>
    <t>'=COUNTIF(range, criteria)</t>
  </si>
  <si>
    <t>Count matching cells</t>
  </si>
  <si>
    <t>Number</t>
  </si>
  <si>
    <t>'=COUNTIF(A:A,"IT")</t>
  </si>
  <si>
    <t>'=COUNTIFS(RNG1,crit1,RNG2,crit2,...)</t>
  </si>
  <si>
    <t>Count with multiple conditions</t>
  </si>
  <si>
    <t>'=COUNTIFS(A:A,"IT",B:B,"&gt;50k")</t>
  </si>
  <si>
    <t>SUMIF</t>
  </si>
  <si>
    <t>'=SUMIF(range, criteria, sum_range)</t>
  </si>
  <si>
    <t>Sum matching cells</t>
  </si>
  <si>
    <t>'=SUMIF(A:A,"IT",C:C)</t>
  </si>
  <si>
    <t>SUMIFS</t>
  </si>
  <si>
    <t>'=SUMIFS(sum_rng,RNG1,CR1,RNG2,CR2,...)</t>
  </si>
  <si>
    <t>Sum with multiple conditions</t>
  </si>
  <si>
    <t>'=SUMIFS(C:C,A:A,"IT",B:B,"Yes")</t>
  </si>
  <si>
    <t>AVERAGEIF</t>
  </si>
  <si>
    <t>'=AVERAGEIF(range, criteria, avg_range)</t>
  </si>
  <si>
    <t>Average matching cells</t>
  </si>
  <si>
    <t>'=AVERAGEIF(A:A,"IT",C:C)</t>
  </si>
  <si>
    <t>AVERAGEIFS</t>
  </si>
  <si>
    <t>'=AVERAGEIFS(avg_rng,RNG1,CR1,...)</t>
  </si>
  <si>
    <t>Average with multiple conditions</t>
  </si>
  <si>
    <t>'=AVERAGEIFS(C:C,A:A,"IT",B:B,"Yes")</t>
  </si>
  <si>
    <t>SWITCH</t>
  </si>
  <si>
    <t>'=switch(expr,VAL1,RES1,...,default)</t>
  </si>
  <si>
    <t>Match expression to value list</t>
  </si>
  <si>
    <t>'=switch(A1,"HR","H","IT","I","?")</t>
  </si>
  <si>
    <t>CHOOSE</t>
  </si>
  <si>
    <t>'=CHOOSE(index_num, VAL1, VAL2, ...)</t>
  </si>
  <si>
    <t>Pick Nth item from a list</t>
  </si>
  <si>
    <t>'=CHOOSE(A1,"Low","Mid","High")</t>
  </si>
  <si>
    <t>'=TRUE()  /  =FALSE()</t>
  </si>
  <si>
    <t>Return logical constant</t>
  </si>
  <si>
    <t>'=IF(TRUE(),"Yes","No")</t>
  </si>
  <si>
    <t>classify employees as "Senior" if their experience (column E) is 10 years or more, otherwise label them "Junior"</t>
  </si>
  <si>
    <t>determine the bonus category.If an employee's salary (column C) is 80,000 or more, return "High Bonus", otherwise return "Standard Bonus"</t>
  </si>
  <si>
    <t>In column H, categorize employees as: "Top Performer" if their designation in column F is Senior,Otherwise return "Regular".</t>
  </si>
  <si>
    <r>
      <t xml:space="preserve">assign a </t>
    </r>
    <r>
      <rPr>
        <b/>
        <sz val="11"/>
        <color theme="1"/>
        <rFont val="Calibri"/>
        <family val="2"/>
        <charset val="1"/>
      </rPr>
      <t>grade</t>
    </r>
    <r>
      <rPr>
        <sz val="11"/>
        <color theme="1"/>
        <rFont val="Calibri"/>
        <family val="2"/>
        <charset val="1"/>
      </rPr>
      <t xml:space="preserve"> based on employee </t>
    </r>
    <r>
      <rPr>
        <b/>
        <sz val="11"/>
        <color theme="1"/>
        <rFont val="Calibri"/>
        <family val="2"/>
        <charset val="1"/>
      </rPr>
      <t>performance rating (column D)</t>
    </r>
    <r>
      <rPr>
        <sz val="11"/>
        <color theme="1"/>
        <rFont val="Calibri"/>
        <family val="2"/>
        <charset val="1"/>
      </rPr>
      <t xml:space="preserve"> and </t>
    </r>
    <r>
      <rPr>
        <b/>
        <sz val="11"/>
        <color theme="1"/>
        <rFont val="Calibri"/>
        <family val="2"/>
        <charset val="1"/>
      </rPr>
      <t>salary (column C)</t>
    </r>
    <r>
      <rPr>
        <sz val="11"/>
        <color theme="1"/>
        <rFont val="Calibri"/>
        <family val="2"/>
        <charset val="1"/>
      </rPr>
      <t xml:space="preserve"> using the following rules: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</si>
  <si>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and salary ≥ 80,000 → </t>
    </r>
    <r>
      <rPr>
        <b/>
        <sz val="11"/>
        <color theme="1"/>
        <rFont val="Calibri"/>
        <family val="2"/>
        <charset val="1"/>
      </rPr>
      <t>A+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</si>
  <si>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Excellent</t>
    </r>
    <r>
      <rPr>
        <sz val="11"/>
        <color theme="1"/>
        <rFont val="Calibri"/>
        <family val="2"/>
        <charset val="1"/>
      </rPr>
      <t xml:space="preserve"> but salary &lt; 80,000 → </t>
    </r>
    <r>
      <rPr>
        <b/>
        <sz val="11"/>
        <color theme="1"/>
        <rFont val="Calibri"/>
        <family val="2"/>
        <charset val="1"/>
      </rPr>
      <t>A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</si>
  <si>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Good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B</t>
    </r>
  </si>
  <si>
    <r>
      <t xml:space="preserve">If rating is </t>
    </r>
    <r>
      <rPr>
        <b/>
        <sz val="11"/>
        <color theme="1"/>
        <rFont val="Calibri"/>
        <family val="2"/>
        <charset val="1"/>
      </rPr>
      <t>Average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C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</si>
  <si>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D</t>
    </r>
  </si>
  <si>
    <t>determine the promotion status using the following logic:</t>
  </si>
  <si>
    <t>If rating = Excellent AND experience ≥ 10 years → Promotion Candidate</t>
  </si>
  <si>
    <t>If rating = Average → Needs Improvement</t>
  </si>
  <si>
    <t>Otherwise → On Track</t>
  </si>
  <si>
    <r>
      <t xml:space="preserve">check if an employee is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 using these conditions:</t>
    </r>
  </si>
  <si>
    <t>Employee must:</t>
  </si>
  <si>
    <r>
      <t xml:space="preserve">Have rating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</si>
  <si>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70,000</t>
    </r>
  </si>
  <si>
    <r>
      <t xml:space="preserve">Status in column E = </t>
    </r>
    <r>
      <rPr>
        <b/>
        <sz val="11"/>
        <color theme="1"/>
        <rFont val="Calibri"/>
        <family val="2"/>
        <charset val="1"/>
      </rPr>
      <t>Yes</t>
    </r>
  </si>
  <si>
    <t xml:space="preserve">Assign salary band based on salary </t>
  </si>
  <si>
    <t>salary &gt;= 80000   →  Senior</t>
  </si>
  <si>
    <t>salary &gt;= 100000   →  Executive</t>
  </si>
  <si>
    <t>salary &gt;= 65000   →  Mid-Level</t>
  </si>
  <si>
    <t>salary &lt; 65000   →  Junior</t>
  </si>
  <si>
    <r>
      <t xml:space="preserve">If all conditions are true → </t>
    </r>
    <r>
      <rPr>
        <b/>
        <sz val="11"/>
        <color theme="1"/>
        <rFont val="Calibri"/>
        <family val="2"/>
        <charset val="1"/>
      </rPr>
      <t>Eligible</t>
    </r>
    <r>
      <rPr>
        <sz val="11"/>
        <color theme="1"/>
        <rFont val="Calibri"/>
        <family val="2"/>
        <charset val="1"/>
      </rPr>
      <t xml:space="preserve">, otherwise → </t>
    </r>
    <r>
      <rPr>
        <b/>
        <sz val="11"/>
        <color theme="1"/>
        <rFont val="Calibri"/>
        <family val="2"/>
        <charset val="1"/>
      </rPr>
      <t>Not Eligible</t>
    </r>
    <r>
      <rPr>
        <sz val="11"/>
        <color theme="1"/>
        <rFont val="Calibri"/>
        <family val="2"/>
        <charset val="1"/>
      </rPr>
      <t>.</t>
    </r>
  </si>
  <si>
    <r>
      <t xml:space="preserve">mark employees as </t>
    </r>
    <r>
      <rPr>
        <b/>
        <sz val="11"/>
        <color theme="1"/>
        <rFont val="Calibri"/>
        <family val="2"/>
        <charset val="1"/>
      </rPr>
      <t>High Priority</t>
    </r>
    <r>
      <rPr>
        <sz val="11"/>
        <color theme="1"/>
        <rFont val="Calibri"/>
        <family val="2"/>
        <charset val="1"/>
      </rPr>
      <t xml:space="preserve"> if:</t>
    </r>
  </si>
  <si>
    <r>
      <t xml:space="preserve">Salary ≥ </t>
    </r>
    <r>
      <rPr>
        <b/>
        <sz val="11"/>
        <color theme="1"/>
        <rFont val="Calibri"/>
        <family val="2"/>
        <charset val="1"/>
      </rPr>
      <t>90,000</t>
    </r>
    <r>
      <rPr>
        <sz val="11"/>
        <color theme="1"/>
        <rFont val="Calibri"/>
        <family val="2"/>
        <charset val="1"/>
      </rPr>
      <t>, OR</t>
    </r>
  </si>
  <si>
    <r>
      <t xml:space="preserve">Rating is </t>
    </r>
    <r>
      <rPr>
        <b/>
        <sz val="11"/>
        <color theme="1"/>
        <rFont val="Calibri"/>
        <family val="2"/>
        <charset val="1"/>
      </rPr>
      <t>Excellent</t>
    </r>
  </si>
  <si>
    <r>
      <t xml:space="preserve">Otherwise mark them as </t>
    </r>
    <r>
      <rPr>
        <b/>
        <sz val="11"/>
        <color theme="1"/>
        <rFont val="Calibri"/>
        <family val="2"/>
        <charset val="1"/>
      </rPr>
      <t>Normal</t>
    </r>
    <r>
      <rPr>
        <sz val="11"/>
        <color theme="1"/>
        <rFont val="Calibri"/>
        <family val="2"/>
        <charset val="1"/>
      </rPr>
      <t>.</t>
    </r>
  </si>
  <si>
    <t>check employee activity status:</t>
  </si>
  <si>
    <r>
      <t xml:space="preserve">If column </t>
    </r>
    <r>
      <rPr>
        <b/>
        <sz val="11"/>
        <color theme="1"/>
        <rFont val="Calibri"/>
        <family val="2"/>
        <charset val="1"/>
      </rPr>
      <t>E is NOT "Yes"</t>
    </r>
    <r>
      <rPr>
        <sz val="11"/>
        <color theme="1"/>
        <rFont val="Calibri"/>
        <family val="2"/>
        <charset val="1"/>
      </rPr>
      <t xml:space="preserve"> → return </t>
    </r>
    <r>
      <rPr>
        <b/>
        <sz val="11"/>
        <color theme="1"/>
        <rFont val="Calibri"/>
        <family val="2"/>
        <charset val="1"/>
      </rPr>
      <t>Inactive Employee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</si>
  <si>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Active &amp; Working</t>
    </r>
  </si>
  <si>
    <t>Count of Employees</t>
  </si>
  <si>
    <r>
      <t xml:space="preserve">convert department names into </t>
    </r>
    <r>
      <rPr>
        <b/>
        <sz val="11"/>
        <color theme="1"/>
        <rFont val="Calibri"/>
        <family val="2"/>
        <charset val="1"/>
      </rPr>
      <t>short department codes</t>
    </r>
    <r>
      <rPr>
        <sz val="11"/>
        <color theme="1"/>
        <rFont val="Calibri"/>
        <family val="2"/>
        <charset val="1"/>
      </rPr>
      <t>:</t>
    </r>
  </si>
  <si>
    <t>HR → HUM</t>
  </si>
  <si>
    <t>IT → TECH</t>
  </si>
  <si>
    <t>Finance → FIN</t>
  </si>
  <si>
    <t>Marketing → MKT</t>
  </si>
  <si>
    <t>Otherwise → UNK</t>
  </si>
  <si>
    <r>
      <t xml:space="preserve">convert the </t>
    </r>
    <r>
      <rPr>
        <b/>
        <sz val="11"/>
        <color theme="1"/>
        <rFont val="Calibri"/>
        <family val="2"/>
        <charset val="1"/>
      </rPr>
      <t>performance rating number (column D)</t>
    </r>
    <r>
      <rPr>
        <sz val="11"/>
        <color theme="1"/>
        <rFont val="Calibri"/>
        <family val="2"/>
        <charset val="1"/>
      </rPr>
      <t xml:space="preserve"> into text using the following mapping:</t>
    </r>
  </si>
  <si>
    <t>1 → Excellent</t>
  </si>
  <si>
    <t>2 → Good</t>
  </si>
  <si>
    <t>3 → Average</t>
  </si>
  <si>
    <r>
      <t xml:space="preserve">convert </t>
    </r>
    <r>
      <rPr>
        <b/>
        <sz val="11"/>
        <color theme="1"/>
        <rFont val="Calibri"/>
        <family val="2"/>
        <charset val="1"/>
      </rPr>
      <t>region names into single-letter codes</t>
    </r>
    <r>
      <rPr>
        <sz val="11"/>
        <color theme="1"/>
        <rFont val="Calibri"/>
        <family val="2"/>
        <charset val="1"/>
      </rPr>
      <t>:</t>
    </r>
  </si>
  <si>
    <t>North → N</t>
  </si>
  <si>
    <t>South → S</t>
  </si>
  <si>
    <t>East → E</t>
  </si>
  <si>
    <t>West → W</t>
  </si>
  <si>
    <t>Otherwise → ?</t>
  </si>
  <si>
    <t>it</t>
  </si>
  <si>
    <t>excellent</t>
  </si>
  <si>
    <t xml:space="preserve">north </t>
  </si>
  <si>
    <t>yes</t>
  </si>
  <si>
    <t>=IF('📋 Employee Dataset'!E3&gt;75000,"HIGH EARNER","LOW EARNER")</t>
  </si>
  <si>
    <t>=IF('📋 Employee Dataset'!L3="yes","ACTIVE","INACTIVE")</t>
  </si>
  <si>
    <t>=IFS(AND('📋 Employee Dataset'!E8&gt;=90000),"HIGH TAX",AND('📋 Employee Dataset'!E8&gt;=65000),"MID TAX",'📋 Employee Dataset'!E8,"LOW TAX")</t>
  </si>
  <si>
    <t>=IF(OR('📋 Employee Dataset'!E8&lt;60000,'📋 Employee Dataset'!F8&lt;3),"Review")</t>
  </si>
  <si>
    <t>=IFERROR('📋 Employee Dataset'!E8/'📋 Employee Dataset'!K8,"N/A")</t>
  </si>
  <si>
    <t>=COUNTIF('📋 Employee Dataset'!C8:C27,"Finance")</t>
  </si>
  <si>
    <t>=SUMIF('📋 Employee Dataset'!C8:C27,"Marketing",'📋 Employee Dataset'!E8:E27)</t>
  </si>
  <si>
    <t>=AVERAGEIF('📋 Employee Dataset'!G8:G27,"Excellent",'📋 Employee Dataset'!E8:E27)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</si>
</sst>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7D6608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16"/>
      <color rgb="FFFFFFFF"/>
      <name val="Arial"/>
      <charset val="1"/>
    </font>
    <font>
      <sz val="9"/>
      <color rgb="FF2E75B6"/>
      <name val="Arial"/>
      <charset val="1"/>
    </font>
    <font>
      <b/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F2F3F4"/>
        <bgColor rgb="FFE9F7EF"/>
      </patternFill>
    </fill>
    <fill>
      <patternFill patternType="solid">
        <fgColor rgb="FFFFFFFF"/>
        <bgColor rgb="FFFDFEFE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E9F7EF"/>
        <bgColor rgb="FFF2F3F4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ADBD8"/>
      </patternFill>
    </fill>
    <fill>
      <patternFill patternType="solid">
        <fgColor rgb="FFE67E22"/>
        <bgColor rgb="FFFF8080"/>
      </patternFill>
    </fill>
    <fill>
      <patternFill patternType="solid">
        <fgColor rgb="FFFADBD8"/>
        <bgColor rgb="FFE8DAEF"/>
      </patternFill>
    </fill>
    <fill>
      <patternFill patternType="solid">
        <fgColor rgb="FFF9E79F"/>
        <bgColor rgb="FFFDEBD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1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14" borderId="3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BFBFBF"/>
      <rgbColor rgb="FF808080"/>
      <rgbColor rgb="FF9999FF"/>
      <rgbColor rgb="FF6C3483"/>
      <rgbColor rgb="FFFDEBD0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9F7EF"/>
      <rgbColor rgb="FFD5F5E3"/>
      <rgbColor rgb="FFF9E79F"/>
      <rgbColor rgb="FFD6E4F0"/>
      <rgbColor rgb="FFF2F3F4"/>
      <rgbColor rgb="FFFDFEFE"/>
      <rgbColor rgb="FFFADBD8"/>
      <rgbColor rgb="FF2E75B6"/>
      <rgbColor rgb="FF33CCCC"/>
      <rgbColor rgb="FF99CC00"/>
      <rgbColor rgb="FFFFCC00"/>
      <rgbColor rgb="FFD4AC0D"/>
      <rgbColor rgb="FFE67E22"/>
      <rgbColor rgb="FF5D6D7E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DD1EA41-AB5F-4B54-BDB0-6392AF205AAB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cUkffs79BIQtaWtKIo0Z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88CDCB8-2E7E-4F7C-89C7-6068DCA6717F}">
  <we:reference id="wa200007447" version="1.0.0.0" store="en-US" storeType="OMEX"/>
  <we:alternateReferences>
    <we:reference id="WA200007447" version="1.0.0.0" store="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&quot;\&quot;\&quot;\n- Drag task pane open for room\n- Save to create Excel function\n- Try in Excel: =HELLO(\&quot;World\&quot;)\n\&quot;\&quot;\&quot;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timestamp&quot;:&quot;2026-03-10T12:02:25.835Z&quot;,&quot;parameters&quot;:[{&quot;name&quot;:&quot;name&quot;,&quot;optional&quot;:false}],&quot;imports&quot;:[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Q28"/>
  <sheetViews>
    <sheetView showGridLines="0" zoomScaleNormal="100" workbookViewId="0">
      <pane ySplit="2" topLeftCell="A9" activePane="bottomLeft" state="frozen"/>
      <selection pane="bottomLeft" activeCell="G8" sqref="G8:J27"/>
    </sheetView>
  </sheetViews>
  <sheetFormatPr defaultColWidth="8.6640625" defaultRowHeight="14.4" x14ac:dyDescent="0.3"/>
  <cols>
    <col min="1" max="1" width="9" customWidth="1"/>
    <col min="2" max="2" width="18" customWidth="1"/>
    <col min="3" max="3" width="14" customWidth="1"/>
    <col min="4" max="4" width="7" customWidth="1"/>
    <col min="5" max="5" width="11" customWidth="1"/>
    <col min="6" max="6" width="10" customWidth="1"/>
    <col min="7" max="7" width="14" customWidth="1"/>
    <col min="8" max="8" width="12" customWidth="1"/>
    <col min="9" max="9" width="9" customWidth="1"/>
    <col min="10" max="10" width="10" customWidth="1"/>
    <col min="11" max="11" width="14" customWidth="1"/>
    <col min="12" max="12" width="9" customWidth="1"/>
  </cols>
  <sheetData>
    <row r="1" spans="1:17" ht="36" customHeight="1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7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7" ht="15" customHeight="1" x14ac:dyDescent="0.3">
      <c r="A3" s="6" t="s">
        <v>13</v>
      </c>
      <c r="B3" s="7" t="s">
        <v>14</v>
      </c>
      <c r="C3" s="7" t="s">
        <v>15</v>
      </c>
      <c r="D3" s="6">
        <v>34</v>
      </c>
      <c r="E3" s="6">
        <v>62000</v>
      </c>
      <c r="F3" s="6">
        <v>6</v>
      </c>
      <c r="G3" s="7" t="s">
        <v>16</v>
      </c>
      <c r="H3" s="6" t="s">
        <v>17</v>
      </c>
      <c r="I3" s="6" t="s">
        <v>18</v>
      </c>
      <c r="J3" s="6">
        <v>12</v>
      </c>
      <c r="K3" s="6">
        <v>8</v>
      </c>
      <c r="L3" s="6" t="s">
        <v>19</v>
      </c>
      <c r="N3" t="str" cm="1">
        <f t="array" ref="N3">_xlfn.IFS(E3&gt;=90000,"HIGH TAX",E3&gt;=65000,"MID TAX",TRUE,"LOW TAX")</f>
        <v>LOW TAX</v>
      </c>
    </row>
    <row r="4" spans="1:17" ht="15" customHeight="1" x14ac:dyDescent="0.3">
      <c r="A4" s="8" t="s">
        <v>20</v>
      </c>
      <c r="B4" s="9" t="s">
        <v>21</v>
      </c>
      <c r="C4" s="9" t="s">
        <v>22</v>
      </c>
      <c r="D4" s="8">
        <v>28</v>
      </c>
      <c r="E4" s="8">
        <v>75000</v>
      </c>
      <c r="F4" s="8">
        <v>4</v>
      </c>
      <c r="G4" s="9" t="s">
        <v>23</v>
      </c>
      <c r="H4" s="8" t="s">
        <v>24</v>
      </c>
      <c r="I4" s="8" t="s">
        <v>25</v>
      </c>
      <c r="J4" s="8">
        <v>10</v>
      </c>
      <c r="K4" s="8">
        <v>12</v>
      </c>
      <c r="L4" s="8" t="s">
        <v>19</v>
      </c>
      <c r="M4" t="str">
        <f t="shared" ref="M4:M27" si="0">IF(L4="Yes","ACTIVE","INACTIVE")</f>
        <v>ACTIVE</v>
      </c>
    </row>
    <row r="5" spans="1:17" ht="15" customHeight="1" x14ac:dyDescent="0.3">
      <c r="A5" s="6" t="s">
        <v>26</v>
      </c>
      <c r="B5" s="7" t="s">
        <v>27</v>
      </c>
      <c r="C5" s="7" t="s">
        <v>28</v>
      </c>
      <c r="D5" s="6">
        <v>45</v>
      </c>
      <c r="E5" s="6">
        <v>90000</v>
      </c>
      <c r="F5" s="6">
        <v>18</v>
      </c>
      <c r="G5" s="7" t="s">
        <v>16</v>
      </c>
      <c r="H5" s="6" t="s">
        <v>29</v>
      </c>
      <c r="I5" s="6" t="s">
        <v>18</v>
      </c>
      <c r="J5" s="6">
        <v>15</v>
      </c>
      <c r="K5" s="6">
        <v>20</v>
      </c>
      <c r="L5" s="6" t="s">
        <v>19</v>
      </c>
      <c r="M5" t="str">
        <f t="shared" si="0"/>
        <v>ACTIVE</v>
      </c>
    </row>
    <row r="6" spans="1:17" ht="15" customHeight="1" x14ac:dyDescent="0.3">
      <c r="A6" s="8" t="s">
        <v>30</v>
      </c>
      <c r="B6" s="9" t="s">
        <v>31</v>
      </c>
      <c r="C6" s="9" t="s">
        <v>22</v>
      </c>
      <c r="D6" s="8">
        <v>31</v>
      </c>
      <c r="E6" s="8">
        <v>71000</v>
      </c>
      <c r="F6" s="8">
        <v>7</v>
      </c>
      <c r="G6" s="9" t="s">
        <v>32</v>
      </c>
      <c r="H6" s="8" t="s">
        <v>33</v>
      </c>
      <c r="I6" s="8" t="s">
        <v>25</v>
      </c>
      <c r="J6" s="8">
        <v>8</v>
      </c>
      <c r="K6" s="8">
        <v>9</v>
      </c>
      <c r="L6" s="8" t="s">
        <v>19</v>
      </c>
      <c r="M6" t="str">
        <f t="shared" si="0"/>
        <v>ACTIVE</v>
      </c>
    </row>
    <row r="7" spans="1:17" ht="15" customHeight="1" x14ac:dyDescent="0.3">
      <c r="A7" s="6" t="s">
        <v>34</v>
      </c>
      <c r="B7" s="7" t="s">
        <v>35</v>
      </c>
      <c r="C7" s="7" t="s">
        <v>36</v>
      </c>
      <c r="D7" s="6">
        <v>26</v>
      </c>
      <c r="E7" s="6">
        <v>55000</v>
      </c>
      <c r="F7" s="6">
        <v>3</v>
      </c>
      <c r="G7" s="7" t="s">
        <v>23</v>
      </c>
      <c r="H7" s="6" t="s">
        <v>17</v>
      </c>
      <c r="I7" s="6" t="s">
        <v>18</v>
      </c>
      <c r="J7" s="6">
        <v>10</v>
      </c>
      <c r="K7" s="6">
        <v>6</v>
      </c>
      <c r="L7" s="6" t="s">
        <v>19</v>
      </c>
      <c r="M7" t="str">
        <f t="shared" si="0"/>
        <v>ACTIVE</v>
      </c>
    </row>
    <row r="8" spans="1:17" ht="15" customHeight="1" x14ac:dyDescent="0.3">
      <c r="A8" s="8" t="s">
        <v>37</v>
      </c>
      <c r="B8" s="9" t="s">
        <v>38</v>
      </c>
      <c r="C8" s="9" t="s">
        <v>15</v>
      </c>
      <c r="D8" s="8">
        <v>52</v>
      </c>
      <c r="E8" s="8">
        <v>68000</v>
      </c>
      <c r="F8" s="8">
        <v>22</v>
      </c>
      <c r="G8" s="9" t="s">
        <v>32</v>
      </c>
      <c r="H8" s="8" t="s">
        <v>24</v>
      </c>
      <c r="I8" s="8" t="s">
        <v>25</v>
      </c>
      <c r="J8" s="8">
        <v>8</v>
      </c>
      <c r="K8" s="8">
        <v>15</v>
      </c>
      <c r="L8" s="8" t="s">
        <v>39</v>
      </c>
      <c r="M8" t="str">
        <f t="shared" si="0"/>
        <v>INACTIVE</v>
      </c>
      <c r="O8" t="s">
        <v>302</v>
      </c>
      <c r="Q8" t="e">
        <f>AVERAGEIFS(F8:F27,C8:C27,"IT",G8:G27,"EXCELLENT",H8:H27,"North",L8:L27,"YES")</f>
        <v>#DIV/0!</v>
      </c>
    </row>
    <row r="9" spans="1:17" ht="15" customHeight="1" x14ac:dyDescent="0.3">
      <c r="A9" s="6" t="s">
        <v>40</v>
      </c>
      <c r="B9" s="7" t="s">
        <v>41</v>
      </c>
      <c r="C9" s="7" t="s">
        <v>28</v>
      </c>
      <c r="D9" s="6">
        <v>38</v>
      </c>
      <c r="E9" s="6">
        <v>95000</v>
      </c>
      <c r="F9" s="6">
        <v>14</v>
      </c>
      <c r="G9" s="7" t="s">
        <v>16</v>
      </c>
      <c r="H9" s="6" t="s">
        <v>29</v>
      </c>
      <c r="I9" s="6" t="s">
        <v>18</v>
      </c>
      <c r="J9" s="6">
        <v>15</v>
      </c>
      <c r="K9" s="6">
        <v>22</v>
      </c>
      <c r="L9" s="6" t="s">
        <v>19</v>
      </c>
      <c r="M9" t="str">
        <f t="shared" si="0"/>
        <v>ACTIVE</v>
      </c>
      <c r="O9" t="s">
        <v>303</v>
      </c>
    </row>
    <row r="10" spans="1:17" ht="15" customHeight="1" x14ac:dyDescent="0.3">
      <c r="A10" s="8" t="s">
        <v>42</v>
      </c>
      <c r="B10" s="9" t="s">
        <v>43</v>
      </c>
      <c r="C10" s="9" t="s">
        <v>22</v>
      </c>
      <c r="D10" s="8">
        <v>23</v>
      </c>
      <c r="E10" s="8">
        <v>58000</v>
      </c>
      <c r="F10" s="8">
        <v>1</v>
      </c>
      <c r="G10" s="9" t="s">
        <v>23</v>
      </c>
      <c r="H10" s="8" t="s">
        <v>33</v>
      </c>
      <c r="I10" s="8" t="s">
        <v>25</v>
      </c>
      <c r="J10" s="8">
        <v>10</v>
      </c>
      <c r="K10" s="8">
        <v>5</v>
      </c>
      <c r="L10" s="8" t="s">
        <v>19</v>
      </c>
      <c r="M10" t="str">
        <f t="shared" si="0"/>
        <v>ACTIVE</v>
      </c>
      <c r="O10" t="s">
        <v>304</v>
      </c>
    </row>
    <row r="11" spans="1:17" ht="15" customHeight="1" x14ac:dyDescent="0.3">
      <c r="A11" s="6" t="s">
        <v>44</v>
      </c>
      <c r="B11" s="7" t="s">
        <v>45</v>
      </c>
      <c r="C11" s="7" t="s">
        <v>36</v>
      </c>
      <c r="D11" s="6">
        <v>41</v>
      </c>
      <c r="E11" s="6">
        <v>72000</v>
      </c>
      <c r="F11" s="6">
        <v>12</v>
      </c>
      <c r="G11" s="7" t="s">
        <v>16</v>
      </c>
      <c r="H11" s="6" t="s">
        <v>17</v>
      </c>
      <c r="I11" s="6" t="s">
        <v>18</v>
      </c>
      <c r="J11" s="6">
        <v>12</v>
      </c>
      <c r="K11" s="6">
        <v>18</v>
      </c>
      <c r="L11" s="6" t="s">
        <v>19</v>
      </c>
      <c r="M11" t="str">
        <f t="shared" si="0"/>
        <v>ACTIVE</v>
      </c>
      <c r="O11" t="s">
        <v>305</v>
      </c>
    </row>
    <row r="12" spans="1:17" ht="15" customHeight="1" x14ac:dyDescent="0.3">
      <c r="A12" s="8" t="s">
        <v>46</v>
      </c>
      <c r="B12" s="9" t="s">
        <v>47</v>
      </c>
      <c r="C12" s="9" t="s">
        <v>28</v>
      </c>
      <c r="D12" s="8">
        <v>29</v>
      </c>
      <c r="E12" s="8">
        <v>80000</v>
      </c>
      <c r="F12" s="8">
        <v>5</v>
      </c>
      <c r="G12" s="9" t="s">
        <v>32</v>
      </c>
      <c r="H12" s="8" t="s">
        <v>24</v>
      </c>
      <c r="I12" s="8" t="s">
        <v>25</v>
      </c>
      <c r="J12" s="8">
        <v>8</v>
      </c>
      <c r="K12" s="8">
        <v>10</v>
      </c>
      <c r="L12" s="8" t="s">
        <v>19</v>
      </c>
      <c r="M12" t="str">
        <f t="shared" si="0"/>
        <v>ACTIVE</v>
      </c>
    </row>
    <row r="13" spans="1:17" ht="15" customHeight="1" x14ac:dyDescent="0.3">
      <c r="A13" s="6" t="s">
        <v>48</v>
      </c>
      <c r="B13" s="7" t="s">
        <v>49</v>
      </c>
      <c r="C13" s="7" t="s">
        <v>22</v>
      </c>
      <c r="D13" s="6">
        <v>36</v>
      </c>
      <c r="E13" s="6">
        <v>82000</v>
      </c>
      <c r="F13" s="6">
        <v>10</v>
      </c>
      <c r="G13" s="7" t="s">
        <v>23</v>
      </c>
      <c r="H13" s="6" t="s">
        <v>29</v>
      </c>
      <c r="I13" s="6" t="s">
        <v>18</v>
      </c>
      <c r="J13" s="6">
        <v>10</v>
      </c>
      <c r="K13" s="6">
        <v>14</v>
      </c>
      <c r="L13" s="6" t="s">
        <v>39</v>
      </c>
      <c r="M13" t="str">
        <f t="shared" si="0"/>
        <v>INACTIVE</v>
      </c>
    </row>
    <row r="14" spans="1:17" ht="15" customHeight="1" x14ac:dyDescent="0.3">
      <c r="A14" s="8" t="s">
        <v>50</v>
      </c>
      <c r="B14" s="9" t="s">
        <v>51</v>
      </c>
      <c r="C14" s="9" t="s">
        <v>15</v>
      </c>
      <c r="D14" s="8">
        <v>48</v>
      </c>
      <c r="E14" s="8">
        <v>63000</v>
      </c>
      <c r="F14" s="8">
        <v>20</v>
      </c>
      <c r="G14" s="9" t="s">
        <v>32</v>
      </c>
      <c r="H14" s="8" t="s">
        <v>33</v>
      </c>
      <c r="I14" s="8" t="s">
        <v>25</v>
      </c>
      <c r="J14" s="8">
        <v>8</v>
      </c>
      <c r="K14" s="8">
        <v>11</v>
      </c>
      <c r="L14" s="8" t="s">
        <v>19</v>
      </c>
      <c r="M14" t="str">
        <f t="shared" si="0"/>
        <v>ACTIVE</v>
      </c>
    </row>
    <row r="15" spans="1:17" ht="15" customHeight="1" x14ac:dyDescent="0.3">
      <c r="A15" s="6" t="s">
        <v>52</v>
      </c>
      <c r="B15" s="7" t="s">
        <v>53</v>
      </c>
      <c r="C15" s="7" t="s">
        <v>36</v>
      </c>
      <c r="D15" s="6">
        <v>33</v>
      </c>
      <c r="E15" s="6">
        <v>60000</v>
      </c>
      <c r="F15" s="6">
        <v>8</v>
      </c>
      <c r="G15" s="7" t="s">
        <v>23</v>
      </c>
      <c r="H15" s="6" t="s">
        <v>17</v>
      </c>
      <c r="I15" s="6" t="s">
        <v>18</v>
      </c>
      <c r="J15" s="6">
        <v>10</v>
      </c>
      <c r="K15" s="6">
        <v>9</v>
      </c>
      <c r="L15" s="6" t="s">
        <v>19</v>
      </c>
      <c r="M15" t="str">
        <f t="shared" si="0"/>
        <v>ACTIVE</v>
      </c>
    </row>
    <row r="16" spans="1:17" ht="15" customHeight="1" x14ac:dyDescent="0.3">
      <c r="A16" s="8" t="s">
        <v>54</v>
      </c>
      <c r="B16" s="9" t="s">
        <v>55</v>
      </c>
      <c r="C16" s="9" t="s">
        <v>28</v>
      </c>
      <c r="D16" s="8">
        <v>55</v>
      </c>
      <c r="E16" s="8">
        <v>105000</v>
      </c>
      <c r="F16" s="8">
        <v>28</v>
      </c>
      <c r="G16" s="9" t="s">
        <v>16</v>
      </c>
      <c r="H16" s="8" t="s">
        <v>24</v>
      </c>
      <c r="I16" s="8" t="s">
        <v>25</v>
      </c>
      <c r="J16" s="8">
        <v>20</v>
      </c>
      <c r="K16" s="8">
        <v>30</v>
      </c>
      <c r="L16" s="8" t="s">
        <v>19</v>
      </c>
      <c r="M16" t="str">
        <f t="shared" si="0"/>
        <v>ACTIVE</v>
      </c>
    </row>
    <row r="17" spans="1:13" ht="15" customHeight="1" x14ac:dyDescent="0.3">
      <c r="A17" s="6" t="s">
        <v>56</v>
      </c>
      <c r="B17" s="7" t="s">
        <v>57</v>
      </c>
      <c r="C17" s="7" t="s">
        <v>22</v>
      </c>
      <c r="D17" s="6">
        <v>27</v>
      </c>
      <c r="E17" s="6">
        <v>70000</v>
      </c>
      <c r="F17" s="6">
        <v>3</v>
      </c>
      <c r="G17" s="7" t="s">
        <v>16</v>
      </c>
      <c r="H17" s="6" t="s">
        <v>29</v>
      </c>
      <c r="I17" s="6" t="s">
        <v>18</v>
      </c>
      <c r="J17" s="6">
        <v>12</v>
      </c>
      <c r="K17" s="6">
        <v>7</v>
      </c>
      <c r="L17" s="6" t="s">
        <v>19</v>
      </c>
      <c r="M17" t="str">
        <f t="shared" si="0"/>
        <v>ACTIVE</v>
      </c>
    </row>
    <row r="18" spans="1:13" ht="15" customHeight="1" x14ac:dyDescent="0.3">
      <c r="A18" s="8" t="s">
        <v>58</v>
      </c>
      <c r="B18" s="9" t="s">
        <v>59</v>
      </c>
      <c r="C18" s="9" t="s">
        <v>15</v>
      </c>
      <c r="D18" s="8">
        <v>44</v>
      </c>
      <c r="E18" s="8">
        <v>67000</v>
      </c>
      <c r="F18" s="8">
        <v>16</v>
      </c>
      <c r="G18" s="9" t="s">
        <v>23</v>
      </c>
      <c r="H18" s="8" t="s">
        <v>33</v>
      </c>
      <c r="I18" s="8" t="s">
        <v>25</v>
      </c>
      <c r="J18" s="8">
        <v>10</v>
      </c>
      <c r="K18" s="8">
        <v>13</v>
      </c>
      <c r="L18" s="8" t="s">
        <v>39</v>
      </c>
      <c r="M18" t="str">
        <f t="shared" si="0"/>
        <v>INACTIVE</v>
      </c>
    </row>
    <row r="19" spans="1:13" ht="15" customHeight="1" x14ac:dyDescent="0.3">
      <c r="A19" s="6" t="s">
        <v>60</v>
      </c>
      <c r="B19" s="7" t="s">
        <v>61</v>
      </c>
      <c r="C19" s="7" t="s">
        <v>36</v>
      </c>
      <c r="D19" s="6">
        <v>30</v>
      </c>
      <c r="E19" s="6">
        <v>58000</v>
      </c>
      <c r="F19" s="6">
        <v>6</v>
      </c>
      <c r="G19" s="7" t="s">
        <v>32</v>
      </c>
      <c r="H19" s="6" t="s">
        <v>17</v>
      </c>
      <c r="I19" s="6" t="s">
        <v>18</v>
      </c>
      <c r="J19" s="6">
        <v>8</v>
      </c>
      <c r="K19" s="6">
        <v>8</v>
      </c>
      <c r="L19" s="6" t="s">
        <v>19</v>
      </c>
      <c r="M19" t="str">
        <f t="shared" si="0"/>
        <v>ACTIVE</v>
      </c>
    </row>
    <row r="20" spans="1:13" ht="15" customHeight="1" x14ac:dyDescent="0.3">
      <c r="A20" s="8" t="s">
        <v>62</v>
      </c>
      <c r="B20" s="9" t="s">
        <v>63</v>
      </c>
      <c r="C20" s="9" t="s">
        <v>22</v>
      </c>
      <c r="D20" s="8">
        <v>39</v>
      </c>
      <c r="E20" s="8">
        <v>88000</v>
      </c>
      <c r="F20" s="8">
        <v>13</v>
      </c>
      <c r="G20" s="9" t="s">
        <v>16</v>
      </c>
      <c r="H20" s="8" t="s">
        <v>24</v>
      </c>
      <c r="I20" s="8" t="s">
        <v>25</v>
      </c>
      <c r="J20" s="8">
        <v>15</v>
      </c>
      <c r="K20" s="8">
        <v>17</v>
      </c>
      <c r="L20" s="8" t="s">
        <v>19</v>
      </c>
      <c r="M20" t="str">
        <f t="shared" si="0"/>
        <v>ACTIVE</v>
      </c>
    </row>
    <row r="21" spans="1:13" ht="15" customHeight="1" x14ac:dyDescent="0.3">
      <c r="A21" s="6" t="s">
        <v>64</v>
      </c>
      <c r="B21" s="7" t="s">
        <v>65</v>
      </c>
      <c r="C21" s="7" t="s">
        <v>28</v>
      </c>
      <c r="D21" s="6">
        <v>25</v>
      </c>
      <c r="E21" s="6">
        <v>76000</v>
      </c>
      <c r="F21" s="6">
        <v>2</v>
      </c>
      <c r="G21" s="7" t="s">
        <v>23</v>
      </c>
      <c r="H21" s="6" t="s">
        <v>29</v>
      </c>
      <c r="I21" s="6" t="s">
        <v>18</v>
      </c>
      <c r="J21" s="6">
        <v>10</v>
      </c>
      <c r="K21" s="6">
        <v>6</v>
      </c>
      <c r="L21" s="6" t="s">
        <v>19</v>
      </c>
      <c r="M21" t="str">
        <f t="shared" si="0"/>
        <v>ACTIVE</v>
      </c>
    </row>
    <row r="22" spans="1:13" ht="15" customHeight="1" x14ac:dyDescent="0.3">
      <c r="A22" s="8" t="s">
        <v>66</v>
      </c>
      <c r="B22" s="9" t="s">
        <v>67</v>
      </c>
      <c r="C22" s="9" t="s">
        <v>36</v>
      </c>
      <c r="D22" s="8">
        <v>50</v>
      </c>
      <c r="E22" s="8">
        <v>65000</v>
      </c>
      <c r="F22" s="8">
        <v>24</v>
      </c>
      <c r="G22" s="9" t="s">
        <v>32</v>
      </c>
      <c r="H22" s="8" t="s">
        <v>33</v>
      </c>
      <c r="I22" s="8" t="s">
        <v>25</v>
      </c>
      <c r="J22" s="8">
        <v>8</v>
      </c>
      <c r="K22" s="8">
        <v>19</v>
      </c>
      <c r="L22" s="8" t="s">
        <v>19</v>
      </c>
      <c r="M22" t="str">
        <f t="shared" si="0"/>
        <v>ACTIVE</v>
      </c>
    </row>
    <row r="23" spans="1:13" ht="15" customHeight="1" x14ac:dyDescent="0.3">
      <c r="A23" s="6" t="s">
        <v>68</v>
      </c>
      <c r="B23" s="7" t="s">
        <v>69</v>
      </c>
      <c r="C23" s="7" t="s">
        <v>15</v>
      </c>
      <c r="D23" s="6">
        <v>35</v>
      </c>
      <c r="E23" s="6">
        <v>64000</v>
      </c>
      <c r="F23" s="6">
        <v>9</v>
      </c>
      <c r="G23" s="7" t="s">
        <v>16</v>
      </c>
      <c r="H23" s="6" t="s">
        <v>17</v>
      </c>
      <c r="I23" s="6" t="s">
        <v>18</v>
      </c>
      <c r="J23" s="6">
        <v>12</v>
      </c>
      <c r="K23" s="6">
        <v>10</v>
      </c>
      <c r="L23" s="6" t="s">
        <v>19</v>
      </c>
      <c r="M23" t="str">
        <f t="shared" si="0"/>
        <v>ACTIVE</v>
      </c>
    </row>
    <row r="24" spans="1:13" ht="15" customHeight="1" x14ac:dyDescent="0.3">
      <c r="A24" s="8" t="s">
        <v>70</v>
      </c>
      <c r="B24" s="9" t="s">
        <v>71</v>
      </c>
      <c r="C24" s="9" t="s">
        <v>22</v>
      </c>
      <c r="D24" s="8">
        <v>43</v>
      </c>
      <c r="E24" s="8">
        <v>79000</v>
      </c>
      <c r="F24" s="8">
        <v>15</v>
      </c>
      <c r="G24" s="9" t="s">
        <v>23</v>
      </c>
      <c r="H24" s="8" t="s">
        <v>24</v>
      </c>
      <c r="I24" s="8" t="s">
        <v>25</v>
      </c>
      <c r="J24" s="8">
        <v>10</v>
      </c>
      <c r="K24" s="8">
        <v>16</v>
      </c>
      <c r="L24" s="8" t="s">
        <v>19</v>
      </c>
      <c r="M24" t="str">
        <f t="shared" si="0"/>
        <v>ACTIVE</v>
      </c>
    </row>
    <row r="25" spans="1:13" ht="15" customHeight="1" x14ac:dyDescent="0.3">
      <c r="A25" s="6" t="s">
        <v>72</v>
      </c>
      <c r="B25" s="7" t="s">
        <v>73</v>
      </c>
      <c r="C25" s="7" t="s">
        <v>28</v>
      </c>
      <c r="D25" s="6">
        <v>32</v>
      </c>
      <c r="E25" s="6">
        <v>87000</v>
      </c>
      <c r="F25" s="6">
        <v>8</v>
      </c>
      <c r="G25" s="7" t="s">
        <v>16</v>
      </c>
      <c r="H25" s="6" t="s">
        <v>29</v>
      </c>
      <c r="I25" s="6" t="s">
        <v>18</v>
      </c>
      <c r="J25" s="6">
        <v>15</v>
      </c>
      <c r="K25" s="6">
        <v>14</v>
      </c>
      <c r="L25" s="6" t="s">
        <v>19</v>
      </c>
      <c r="M25" t="str">
        <f t="shared" si="0"/>
        <v>ACTIVE</v>
      </c>
    </row>
    <row r="26" spans="1:13" ht="15" customHeight="1" x14ac:dyDescent="0.3">
      <c r="A26" s="8" t="s">
        <v>74</v>
      </c>
      <c r="B26" s="9" t="s">
        <v>75</v>
      </c>
      <c r="C26" s="9" t="s">
        <v>36</v>
      </c>
      <c r="D26" s="8">
        <v>46</v>
      </c>
      <c r="E26" s="8">
        <v>61000</v>
      </c>
      <c r="F26" s="8">
        <v>18</v>
      </c>
      <c r="G26" s="9" t="s">
        <v>32</v>
      </c>
      <c r="H26" s="8" t="s">
        <v>33</v>
      </c>
      <c r="I26" s="8" t="s">
        <v>25</v>
      </c>
      <c r="J26" s="8">
        <v>8</v>
      </c>
      <c r="K26" s="8">
        <v>12</v>
      </c>
      <c r="L26" s="8" t="s">
        <v>39</v>
      </c>
      <c r="M26" t="str">
        <f t="shared" si="0"/>
        <v>INACTIVE</v>
      </c>
    </row>
    <row r="27" spans="1:13" ht="18" customHeight="1" x14ac:dyDescent="0.3">
      <c r="A27" s="6" t="s">
        <v>76</v>
      </c>
      <c r="B27" s="7" t="s">
        <v>77</v>
      </c>
      <c r="C27" s="7" t="s">
        <v>22</v>
      </c>
      <c r="D27" s="6">
        <v>29</v>
      </c>
      <c r="E27" s="6">
        <v>73000</v>
      </c>
      <c r="F27" s="6">
        <v>4</v>
      </c>
      <c r="G27" s="7" t="s">
        <v>23</v>
      </c>
      <c r="H27" s="6" t="s">
        <v>17</v>
      </c>
      <c r="I27" s="6" t="s">
        <v>18</v>
      </c>
      <c r="J27" s="6">
        <v>10</v>
      </c>
      <c r="K27" s="6">
        <v>8</v>
      </c>
      <c r="L27" s="6" t="s">
        <v>19</v>
      </c>
      <c r="M27" t="str">
        <f t="shared" si="0"/>
        <v>ACTIVE</v>
      </c>
    </row>
    <row r="28" spans="1:13" ht="19.5" customHeight="1" x14ac:dyDescent="0.3"/>
  </sheetData>
  <autoFilter ref="A2:L27" xr:uid="{00000000-0001-0000-0000-000000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3"/>
  <sheetViews>
    <sheetView showGridLines="0" zoomScaleNormal="100" workbookViewId="0">
      <pane ySplit="3" topLeftCell="A4" activePane="bottomLeft" state="frozen"/>
      <selection pane="bottomLeft" activeCell="H4" sqref="H4:H28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0" customWidth="1"/>
    <col min="5" max="5" width="19" customWidth="1"/>
    <col min="6" max="6" width="14" customWidth="1"/>
    <col min="7" max="7" width="21" customWidth="1"/>
    <col min="8" max="8" width="20" customWidth="1"/>
    <col min="10" max="10" width="17.6640625" customWidth="1"/>
  </cols>
  <sheetData>
    <row r="1" spans="1:11" ht="36" customHeight="1" x14ac:dyDescent="0.3">
      <c r="A1" s="52" t="s">
        <v>78</v>
      </c>
      <c r="B1" s="52"/>
      <c r="C1" s="52"/>
      <c r="D1" s="52"/>
      <c r="E1" s="52"/>
      <c r="F1" s="52"/>
      <c r="G1" s="52"/>
      <c r="H1" s="52"/>
    </row>
    <row r="2" spans="1:11" ht="30" customHeight="1" x14ac:dyDescent="0.3">
      <c r="A2" s="53" t="s">
        <v>79</v>
      </c>
      <c r="B2" s="53"/>
      <c r="C2" s="53"/>
      <c r="D2" s="53"/>
      <c r="E2" s="53"/>
      <c r="F2" s="53"/>
      <c r="G2" s="53"/>
      <c r="H2" s="53"/>
    </row>
    <row r="3" spans="1:11" ht="21.75" customHeight="1" x14ac:dyDescent="0.3">
      <c r="A3" s="5" t="s">
        <v>1</v>
      </c>
      <c r="B3" s="5" t="s">
        <v>2</v>
      </c>
      <c r="C3" s="5" t="s">
        <v>5</v>
      </c>
      <c r="D3" s="5" t="s">
        <v>4</v>
      </c>
      <c r="E3" s="5" t="s">
        <v>6</v>
      </c>
      <c r="F3" s="5" t="s">
        <v>80</v>
      </c>
      <c r="G3" s="5" t="s">
        <v>81</v>
      </c>
      <c r="H3" s="5" t="s">
        <v>82</v>
      </c>
    </row>
    <row r="4" spans="1:11" ht="15" customHeight="1" x14ac:dyDescent="0.3">
      <c r="A4" s="8" t="s">
        <v>13</v>
      </c>
      <c r="B4" s="9" t="s">
        <v>14</v>
      </c>
      <c r="C4" s="8">
        <v>62000</v>
      </c>
      <c r="D4" s="8">
        <v>34</v>
      </c>
      <c r="E4" s="8">
        <v>6</v>
      </c>
      <c r="F4" s="10" t="str">
        <f>IF(E4&gt;=10,"SENIOR","JUNIOR")</f>
        <v>JUNIOR</v>
      </c>
      <c r="G4" s="11" t="str">
        <f t="shared" ref="G4:G28" si="0">IF(C4&gt;=80000,"HIGH BONUS","STANDARD BONUS")</f>
        <v>STANDARD BONUS</v>
      </c>
      <c r="H4" s="9" t="str">
        <f>IF(F4="senior","Top Performer","Regular")</f>
        <v>Regular</v>
      </c>
    </row>
    <row r="5" spans="1:11" ht="15" customHeight="1" x14ac:dyDescent="0.3">
      <c r="A5" s="6" t="s">
        <v>20</v>
      </c>
      <c r="B5" s="7" t="s">
        <v>21</v>
      </c>
      <c r="C5" s="6">
        <v>75000</v>
      </c>
      <c r="D5" s="6">
        <v>28</v>
      </c>
      <c r="E5" s="6">
        <v>4</v>
      </c>
      <c r="F5" s="10" t="str">
        <f t="shared" ref="F5:F28" si="1">IF(E5&gt;=10,"SENIOR","JUNIOR")</f>
        <v>JUNIOR</v>
      </c>
      <c r="G5" s="11" t="str">
        <f t="shared" si="0"/>
        <v>STANDARD BONUS</v>
      </c>
      <c r="H5" s="9" t="str">
        <f t="shared" ref="H5:H28" si="2">IF(F5="senior","Top Performer","Regular")</f>
        <v>Regular</v>
      </c>
    </row>
    <row r="6" spans="1:11" ht="15" customHeight="1" x14ac:dyDescent="0.3">
      <c r="A6" s="8" t="s">
        <v>26</v>
      </c>
      <c r="B6" s="9" t="s">
        <v>27</v>
      </c>
      <c r="C6" s="8">
        <v>90000</v>
      </c>
      <c r="D6" s="8">
        <v>45</v>
      </c>
      <c r="E6" s="8">
        <v>18</v>
      </c>
      <c r="F6" s="10" t="str">
        <f t="shared" si="1"/>
        <v>SENIOR</v>
      </c>
      <c r="G6" s="11" t="str">
        <f t="shared" si="0"/>
        <v>HIGH BONUS</v>
      </c>
      <c r="H6" s="9" t="str">
        <f t="shared" si="2"/>
        <v>Top Performer</v>
      </c>
      <c r="J6" s="5" t="s">
        <v>80</v>
      </c>
      <c r="K6" t="s">
        <v>254</v>
      </c>
    </row>
    <row r="7" spans="1:11" ht="15" customHeight="1" x14ac:dyDescent="0.3">
      <c r="A7" s="6" t="s">
        <v>30</v>
      </c>
      <c r="B7" s="7" t="s">
        <v>31</v>
      </c>
      <c r="C7" s="6">
        <v>71000</v>
      </c>
      <c r="D7" s="6">
        <v>31</v>
      </c>
      <c r="E7" s="6">
        <v>7</v>
      </c>
      <c r="F7" s="10" t="str">
        <f t="shared" si="1"/>
        <v>JUNIOR</v>
      </c>
      <c r="G7" s="11" t="str">
        <f t="shared" si="0"/>
        <v>STANDARD BONUS</v>
      </c>
      <c r="H7" s="9" t="str">
        <f t="shared" si="2"/>
        <v>Regular</v>
      </c>
    </row>
    <row r="8" spans="1:11" ht="15" customHeight="1" x14ac:dyDescent="0.3">
      <c r="A8" s="8" t="s">
        <v>34</v>
      </c>
      <c r="B8" s="9" t="s">
        <v>35</v>
      </c>
      <c r="C8" s="8">
        <v>55000</v>
      </c>
      <c r="D8" s="8">
        <v>26</v>
      </c>
      <c r="E8" s="8">
        <v>3</v>
      </c>
      <c r="F8" s="10" t="str">
        <f t="shared" si="1"/>
        <v>JUNIOR</v>
      </c>
      <c r="G8" s="11" t="str">
        <f t="shared" si="0"/>
        <v>STANDARD BONUS</v>
      </c>
      <c r="H8" s="9" t="str">
        <f t="shared" si="2"/>
        <v>Regular</v>
      </c>
      <c r="J8" s="5" t="s">
        <v>81</v>
      </c>
      <c r="K8" t="s">
        <v>255</v>
      </c>
    </row>
    <row r="9" spans="1:11" ht="15" customHeight="1" x14ac:dyDescent="0.3">
      <c r="A9" s="6" t="s">
        <v>37</v>
      </c>
      <c r="B9" s="7" t="s">
        <v>38</v>
      </c>
      <c r="C9" s="6">
        <v>68000</v>
      </c>
      <c r="D9" s="6">
        <v>52</v>
      </c>
      <c r="E9" s="6">
        <v>22</v>
      </c>
      <c r="F9" s="10" t="str">
        <f t="shared" si="1"/>
        <v>SENIOR</v>
      </c>
      <c r="G9" s="11" t="str">
        <f t="shared" si="0"/>
        <v>STANDARD BONUS</v>
      </c>
      <c r="H9" s="9" t="str">
        <f t="shared" si="2"/>
        <v>Top Performer</v>
      </c>
    </row>
    <row r="10" spans="1:11" ht="15" customHeight="1" x14ac:dyDescent="0.3">
      <c r="A10" s="8" t="s">
        <v>40</v>
      </c>
      <c r="B10" s="9" t="s">
        <v>41</v>
      </c>
      <c r="C10" s="8">
        <v>95000</v>
      </c>
      <c r="D10" s="8">
        <v>38</v>
      </c>
      <c r="E10" s="8">
        <v>14</v>
      </c>
      <c r="F10" s="10" t="str">
        <f t="shared" si="1"/>
        <v>SENIOR</v>
      </c>
      <c r="G10" s="11" t="str">
        <f t="shared" si="0"/>
        <v>HIGH BONUS</v>
      </c>
      <c r="H10" s="9" t="str">
        <f t="shared" si="2"/>
        <v>Top Performer</v>
      </c>
      <c r="J10" s="5" t="s">
        <v>82</v>
      </c>
      <c r="K10" t="s">
        <v>256</v>
      </c>
    </row>
    <row r="11" spans="1:11" ht="15" customHeight="1" x14ac:dyDescent="0.3">
      <c r="A11" s="6" t="s">
        <v>42</v>
      </c>
      <c r="B11" s="7" t="s">
        <v>43</v>
      </c>
      <c r="C11" s="6">
        <v>58000</v>
      </c>
      <c r="D11" s="6">
        <v>23</v>
      </c>
      <c r="E11" s="6">
        <v>1</v>
      </c>
      <c r="F11" s="10" t="str">
        <f t="shared" si="1"/>
        <v>JUNIOR</v>
      </c>
      <c r="G11" s="11" t="str">
        <f t="shared" si="0"/>
        <v>STANDARD BONUS</v>
      </c>
      <c r="H11" s="9" t="str">
        <f t="shared" si="2"/>
        <v>Regular</v>
      </c>
    </row>
    <row r="12" spans="1:11" ht="15" customHeight="1" x14ac:dyDescent="0.3">
      <c r="A12" s="8" t="s">
        <v>44</v>
      </c>
      <c r="B12" s="9" t="s">
        <v>45</v>
      </c>
      <c r="C12" s="8">
        <v>72000</v>
      </c>
      <c r="D12" s="8">
        <v>41</v>
      </c>
      <c r="E12" s="8">
        <v>12</v>
      </c>
      <c r="F12" s="10" t="str">
        <f t="shared" si="1"/>
        <v>SENIOR</v>
      </c>
      <c r="G12" s="11" t="str">
        <f t="shared" si="0"/>
        <v>STANDARD BONUS</v>
      </c>
      <c r="H12" s="9" t="str">
        <f t="shared" si="2"/>
        <v>Top Performer</v>
      </c>
    </row>
    <row r="13" spans="1:11" ht="15" customHeight="1" x14ac:dyDescent="0.3">
      <c r="A13" s="6" t="s">
        <v>46</v>
      </c>
      <c r="B13" s="7" t="s">
        <v>47</v>
      </c>
      <c r="C13" s="6">
        <v>80000</v>
      </c>
      <c r="D13" s="6">
        <v>29</v>
      </c>
      <c r="E13" s="6">
        <v>5</v>
      </c>
      <c r="F13" s="10" t="str">
        <f t="shared" si="1"/>
        <v>JUNIOR</v>
      </c>
      <c r="G13" s="11" t="str">
        <f t="shared" si="0"/>
        <v>HIGH BONUS</v>
      </c>
      <c r="H13" s="9" t="str">
        <f t="shared" si="2"/>
        <v>Regular</v>
      </c>
    </row>
    <row r="14" spans="1:11" ht="15" customHeight="1" x14ac:dyDescent="0.3">
      <c r="A14" s="8" t="s">
        <v>48</v>
      </c>
      <c r="B14" s="9" t="s">
        <v>49</v>
      </c>
      <c r="C14" s="8">
        <v>82000</v>
      </c>
      <c r="D14" s="8">
        <v>36</v>
      </c>
      <c r="E14" s="8">
        <v>10</v>
      </c>
      <c r="F14" s="10" t="str">
        <f t="shared" si="1"/>
        <v>SENIOR</v>
      </c>
      <c r="G14" s="11" t="str">
        <f t="shared" si="0"/>
        <v>HIGH BONUS</v>
      </c>
      <c r="H14" s="9" t="str">
        <f t="shared" si="2"/>
        <v>Top Performer</v>
      </c>
    </row>
    <row r="15" spans="1:11" ht="15" customHeight="1" x14ac:dyDescent="0.3">
      <c r="A15" s="6" t="s">
        <v>50</v>
      </c>
      <c r="B15" s="7" t="s">
        <v>51</v>
      </c>
      <c r="C15" s="6">
        <v>63000</v>
      </c>
      <c r="D15" s="6">
        <v>48</v>
      </c>
      <c r="E15" s="6">
        <v>20</v>
      </c>
      <c r="F15" s="10" t="str">
        <f t="shared" si="1"/>
        <v>SENIOR</v>
      </c>
      <c r="G15" s="11" t="str">
        <f t="shared" si="0"/>
        <v>STANDARD BONUS</v>
      </c>
      <c r="H15" s="9" t="str">
        <f t="shared" si="2"/>
        <v>Top Performer</v>
      </c>
    </row>
    <row r="16" spans="1:11" ht="15" customHeight="1" x14ac:dyDescent="0.3">
      <c r="A16" s="8" t="s">
        <v>52</v>
      </c>
      <c r="B16" s="9" t="s">
        <v>53</v>
      </c>
      <c r="C16" s="8">
        <v>60000</v>
      </c>
      <c r="D16" s="8">
        <v>33</v>
      </c>
      <c r="E16" s="8">
        <v>8</v>
      </c>
      <c r="F16" s="10" t="str">
        <f t="shared" si="1"/>
        <v>JUNIOR</v>
      </c>
      <c r="G16" s="11" t="str">
        <f t="shared" si="0"/>
        <v>STANDARD BONUS</v>
      </c>
      <c r="H16" s="9" t="str">
        <f t="shared" si="2"/>
        <v>Regular</v>
      </c>
    </row>
    <row r="17" spans="1:8" ht="15" customHeight="1" x14ac:dyDescent="0.3">
      <c r="A17" s="6" t="s">
        <v>54</v>
      </c>
      <c r="B17" s="7" t="s">
        <v>55</v>
      </c>
      <c r="C17" s="6">
        <v>105000</v>
      </c>
      <c r="D17" s="6">
        <v>55</v>
      </c>
      <c r="E17" s="6">
        <v>28</v>
      </c>
      <c r="F17" s="10" t="str">
        <f t="shared" si="1"/>
        <v>SENIOR</v>
      </c>
      <c r="G17" s="11" t="str">
        <f t="shared" si="0"/>
        <v>HIGH BONUS</v>
      </c>
      <c r="H17" s="9" t="str">
        <f t="shared" si="2"/>
        <v>Top Performer</v>
      </c>
    </row>
    <row r="18" spans="1:8" ht="15" customHeight="1" x14ac:dyDescent="0.3">
      <c r="A18" s="8" t="s">
        <v>56</v>
      </c>
      <c r="B18" s="9" t="s">
        <v>57</v>
      </c>
      <c r="C18" s="8">
        <v>70000</v>
      </c>
      <c r="D18" s="8">
        <v>27</v>
      </c>
      <c r="E18" s="8">
        <v>3</v>
      </c>
      <c r="F18" s="10" t="str">
        <f t="shared" si="1"/>
        <v>JUNIOR</v>
      </c>
      <c r="G18" s="11" t="str">
        <f t="shared" si="0"/>
        <v>STANDARD BONUS</v>
      </c>
      <c r="H18" s="9" t="str">
        <f t="shared" si="2"/>
        <v>Regular</v>
      </c>
    </row>
    <row r="19" spans="1:8" ht="15" customHeight="1" x14ac:dyDescent="0.3">
      <c r="A19" s="6" t="s">
        <v>58</v>
      </c>
      <c r="B19" s="7" t="s">
        <v>59</v>
      </c>
      <c r="C19" s="6">
        <v>67000</v>
      </c>
      <c r="D19" s="6">
        <v>44</v>
      </c>
      <c r="E19" s="6">
        <v>16</v>
      </c>
      <c r="F19" s="10" t="str">
        <f t="shared" si="1"/>
        <v>SENIOR</v>
      </c>
      <c r="G19" s="11" t="str">
        <f t="shared" si="0"/>
        <v>STANDARD BONUS</v>
      </c>
      <c r="H19" s="9" t="str">
        <f t="shared" si="2"/>
        <v>Top Performer</v>
      </c>
    </row>
    <row r="20" spans="1:8" ht="15" customHeight="1" x14ac:dyDescent="0.3">
      <c r="A20" s="8" t="s">
        <v>60</v>
      </c>
      <c r="B20" s="9" t="s">
        <v>61</v>
      </c>
      <c r="C20" s="8">
        <v>58000</v>
      </c>
      <c r="D20" s="8">
        <v>30</v>
      </c>
      <c r="E20" s="8">
        <v>6</v>
      </c>
      <c r="F20" s="10" t="str">
        <f t="shared" si="1"/>
        <v>JUNIOR</v>
      </c>
      <c r="G20" s="11" t="str">
        <f t="shared" si="0"/>
        <v>STANDARD BONUS</v>
      </c>
      <c r="H20" s="9" t="str">
        <f t="shared" si="2"/>
        <v>Regular</v>
      </c>
    </row>
    <row r="21" spans="1:8" ht="15" customHeight="1" x14ac:dyDescent="0.3">
      <c r="A21" s="6" t="s">
        <v>62</v>
      </c>
      <c r="B21" s="7" t="s">
        <v>63</v>
      </c>
      <c r="C21" s="6">
        <v>88000</v>
      </c>
      <c r="D21" s="6">
        <v>39</v>
      </c>
      <c r="E21" s="6">
        <v>13</v>
      </c>
      <c r="F21" s="10" t="str">
        <f t="shared" si="1"/>
        <v>SENIOR</v>
      </c>
      <c r="G21" s="11" t="str">
        <f t="shared" si="0"/>
        <v>HIGH BONUS</v>
      </c>
      <c r="H21" s="9" t="str">
        <f t="shared" si="2"/>
        <v>Top Performer</v>
      </c>
    </row>
    <row r="22" spans="1:8" ht="15" customHeight="1" x14ac:dyDescent="0.3">
      <c r="A22" s="8" t="s">
        <v>64</v>
      </c>
      <c r="B22" s="9" t="s">
        <v>65</v>
      </c>
      <c r="C22" s="8">
        <v>76000</v>
      </c>
      <c r="D22" s="8">
        <v>25</v>
      </c>
      <c r="E22" s="8">
        <v>2</v>
      </c>
      <c r="F22" s="10" t="str">
        <f t="shared" si="1"/>
        <v>JUNIOR</v>
      </c>
      <c r="G22" s="11" t="str">
        <f t="shared" si="0"/>
        <v>STANDARD BONUS</v>
      </c>
      <c r="H22" s="9" t="str">
        <f t="shared" si="2"/>
        <v>Regular</v>
      </c>
    </row>
    <row r="23" spans="1:8" ht="15" customHeight="1" x14ac:dyDescent="0.3">
      <c r="A23" s="6" t="s">
        <v>66</v>
      </c>
      <c r="B23" s="7" t="s">
        <v>67</v>
      </c>
      <c r="C23" s="6">
        <v>65000</v>
      </c>
      <c r="D23" s="6">
        <v>50</v>
      </c>
      <c r="E23" s="6">
        <v>24</v>
      </c>
      <c r="F23" s="10" t="str">
        <f t="shared" si="1"/>
        <v>SENIOR</v>
      </c>
      <c r="G23" s="11" t="str">
        <f t="shared" si="0"/>
        <v>STANDARD BONUS</v>
      </c>
      <c r="H23" s="9" t="str">
        <f t="shared" si="2"/>
        <v>Top Performer</v>
      </c>
    </row>
    <row r="24" spans="1:8" ht="15" customHeight="1" x14ac:dyDescent="0.3">
      <c r="A24" s="8" t="s">
        <v>68</v>
      </c>
      <c r="B24" s="9" t="s">
        <v>69</v>
      </c>
      <c r="C24" s="8">
        <v>64000</v>
      </c>
      <c r="D24" s="8">
        <v>35</v>
      </c>
      <c r="E24" s="8">
        <v>9</v>
      </c>
      <c r="F24" s="10" t="str">
        <f t="shared" si="1"/>
        <v>JUNIOR</v>
      </c>
      <c r="G24" s="11" t="str">
        <f t="shared" si="0"/>
        <v>STANDARD BONUS</v>
      </c>
      <c r="H24" s="9" t="str">
        <f t="shared" si="2"/>
        <v>Regular</v>
      </c>
    </row>
    <row r="25" spans="1:8" ht="15" customHeight="1" x14ac:dyDescent="0.3">
      <c r="A25" s="6" t="s">
        <v>70</v>
      </c>
      <c r="B25" s="7" t="s">
        <v>71</v>
      </c>
      <c r="C25" s="6">
        <v>79000</v>
      </c>
      <c r="D25" s="6">
        <v>43</v>
      </c>
      <c r="E25" s="6">
        <v>15</v>
      </c>
      <c r="F25" s="10" t="str">
        <f t="shared" si="1"/>
        <v>SENIOR</v>
      </c>
      <c r="G25" s="11" t="str">
        <f t="shared" si="0"/>
        <v>STANDARD BONUS</v>
      </c>
      <c r="H25" s="9" t="str">
        <f t="shared" si="2"/>
        <v>Top Performer</v>
      </c>
    </row>
    <row r="26" spans="1:8" ht="15" customHeight="1" x14ac:dyDescent="0.3">
      <c r="A26" s="8" t="s">
        <v>72</v>
      </c>
      <c r="B26" s="9" t="s">
        <v>73</v>
      </c>
      <c r="C26" s="8">
        <v>87000</v>
      </c>
      <c r="D26" s="8">
        <v>32</v>
      </c>
      <c r="E26" s="8">
        <v>8</v>
      </c>
      <c r="F26" s="10" t="str">
        <f t="shared" si="1"/>
        <v>JUNIOR</v>
      </c>
      <c r="G26" s="11" t="str">
        <f t="shared" si="0"/>
        <v>HIGH BONUS</v>
      </c>
      <c r="H26" s="9" t="str">
        <f t="shared" si="2"/>
        <v>Regular</v>
      </c>
    </row>
    <row r="27" spans="1:8" ht="15" customHeight="1" x14ac:dyDescent="0.3">
      <c r="A27" s="6" t="s">
        <v>74</v>
      </c>
      <c r="B27" s="7" t="s">
        <v>75</v>
      </c>
      <c r="C27" s="6">
        <v>61000</v>
      </c>
      <c r="D27" s="6">
        <v>46</v>
      </c>
      <c r="E27" s="6">
        <v>18</v>
      </c>
      <c r="F27" s="10" t="str">
        <f t="shared" si="1"/>
        <v>SENIOR</v>
      </c>
      <c r="G27" s="11" t="str">
        <f t="shared" si="0"/>
        <v>STANDARD BONUS</v>
      </c>
      <c r="H27" s="9" t="str">
        <f t="shared" si="2"/>
        <v>Top Performer</v>
      </c>
    </row>
    <row r="28" spans="1:8" ht="15" customHeight="1" x14ac:dyDescent="0.3">
      <c r="A28" s="8" t="s">
        <v>76</v>
      </c>
      <c r="B28" s="9" t="s">
        <v>77</v>
      </c>
      <c r="C28" s="8">
        <v>73000</v>
      </c>
      <c r="D28" s="8">
        <v>29</v>
      </c>
      <c r="E28" s="8">
        <v>4</v>
      </c>
      <c r="F28" s="10" t="str">
        <f t="shared" si="1"/>
        <v>JUNIOR</v>
      </c>
      <c r="G28" s="11" t="str">
        <f t="shared" si="0"/>
        <v>STANDARD BONUS</v>
      </c>
      <c r="H28" s="9" t="str">
        <f t="shared" si="2"/>
        <v>Regular</v>
      </c>
    </row>
    <row r="30" spans="1:8" ht="27.75" customHeight="1" x14ac:dyDescent="0.3"/>
    <row r="31" spans="1:8" ht="21.75" customHeight="1" x14ac:dyDescent="0.3"/>
    <row r="32" spans="1:8" ht="21.75" customHeight="1" x14ac:dyDescent="0.3"/>
    <row r="33" ht="21.75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L39"/>
  <sheetViews>
    <sheetView showGridLines="0" zoomScaleNormal="100" workbookViewId="0">
      <pane ySplit="3" topLeftCell="A4" activePane="bottomLeft" state="frozen"/>
      <selection pane="bottomLeft" activeCell="F4" sqref="F4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6" width="21.5546875" customWidth="1"/>
    <col min="7" max="7" width="20" customWidth="1"/>
    <col min="8" max="8" width="22" customWidth="1"/>
    <col min="11" max="11" width="19.33203125" customWidth="1"/>
  </cols>
  <sheetData>
    <row r="1" spans="1:12" ht="36" customHeight="1" x14ac:dyDescent="0.3">
      <c r="A1" s="52" t="s">
        <v>83</v>
      </c>
      <c r="B1" s="52"/>
      <c r="C1" s="52"/>
      <c r="D1" s="52"/>
      <c r="E1" s="52"/>
      <c r="F1" s="52"/>
      <c r="G1" s="52"/>
      <c r="H1" s="52"/>
    </row>
    <row r="2" spans="1:12" ht="30" customHeight="1" x14ac:dyDescent="0.3">
      <c r="A2" s="53" t="s">
        <v>84</v>
      </c>
      <c r="B2" s="53"/>
      <c r="C2" s="53"/>
      <c r="D2" s="53"/>
      <c r="E2" s="53"/>
      <c r="F2" s="53"/>
      <c r="G2" s="53"/>
      <c r="H2" s="53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6</v>
      </c>
      <c r="F3" s="5" t="s">
        <v>85</v>
      </c>
      <c r="G3" s="5" t="s">
        <v>86</v>
      </c>
      <c r="H3" s="5" t="s">
        <v>87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>
        <v>6</v>
      </c>
      <c r="F4" s="12" t="str" cm="1">
        <f t="array" ref="F4">_xlfn.IFS(AND(D4="EXCELLENT",C4&gt;=80000),"A+",AND(D4="EXCELLENT",C4&lt;80000),"A",D4="GOOD","B",D4="AVERAGE","B",TRUE,"D")</f>
        <v>A</v>
      </c>
      <c r="G4" s="3" t="str" cm="1">
        <f t="array" ref="G4">_xlfn.IFS(C4&gt;=100000,"EXECUTIVE",C4&gt;=80000,"SENIOR",C4&gt;=65000,"MID LEVEL",C4&lt;65000,"JUNIOR")</f>
        <v>JUNIOR</v>
      </c>
      <c r="H4" s="9" t="str" cm="1">
        <f t="array" ref="H4">_xlfn.IFS(AND(D4="EXCELLENT",E4&gt;="10 YEARS"),"PROMOTION CANDIDATE",(D4="AVERAGE"),"NEEDS IMPROVEMENT","TRUE","ON TRACK")</f>
        <v>ON TRACK</v>
      </c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>
        <v>4</v>
      </c>
      <c r="F5" s="12" t="str" cm="1">
        <f t="array" ref="F5">_xlfn.IFS(AND(D5="EXCELLENT",C5&gt;=80000),"A+",AND(D5="EXCELLENT",C5&lt;80000),"A",D5="GOOD","B",D5="AVERAGE","B",TRUE,"D")</f>
        <v>B</v>
      </c>
      <c r="G5" s="3" t="str" cm="1">
        <f t="array" ref="G5">_xlfn.IFS(C5&gt;=100000,"EXECUTIVE",C5&gt;=80000,"SENIOR",C5&gt;=65000,"MID LEVEL",C5&lt;65000,"JUNIOR")</f>
        <v>MID LEVEL</v>
      </c>
      <c r="H5" s="9" t="str" cm="1">
        <f t="array" ref="H5">_xlfn.IFS(AND(D5="EXCELLENT",E5&gt;="10 YEARS"),"PROMOTION CANDIDATE",(D5="AVERAGE"),"NEEDS IMPROVEMENT","TRUE","ON TRACK")</f>
        <v>ON TRACK</v>
      </c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>
        <v>18</v>
      </c>
      <c r="F6" s="12" t="str" cm="1">
        <f t="array" ref="F6">_xlfn.IFS(AND(D6="EXCELLENT",C6&gt;=80000),"A+",AND(D6="EXCELLENT",C6&lt;80000),"A",D6="GOOD","B",D6="AVERAGE","B",TRUE,"D")</f>
        <v>A+</v>
      </c>
      <c r="G6" s="3" t="str" cm="1">
        <f t="array" ref="G6">_xlfn.IFS(C6&gt;=100000,"EXECUTIVE",C6&gt;=80000,"SENIOR",C6&gt;=65000,"MID LEVEL",C6&lt;65000,"JUNIOR")</f>
        <v>SENIOR</v>
      </c>
      <c r="H6" s="9" t="str" cm="1">
        <f t="array" ref="H6">_xlfn.IFS(AND(D6="EXCELLENT",E6&gt;="10 YEARS"),"PROMOTION CANDIDATE",(D6="AVERAGE"),"NEEDS IMPROVEMENT","TRUE","ON TRACK")</f>
        <v>ON TRACK</v>
      </c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>
        <v>7</v>
      </c>
      <c r="F7" s="12" t="str" cm="1">
        <f t="array" ref="F7">_xlfn.IFS(AND(D7="EXCELLENT",C7&gt;=80000),"A+",AND(D7="EXCELLENT",C7&lt;80000),"A",D7="GOOD","B",D7="AVERAGE","B",TRUE,"D")</f>
        <v>B</v>
      </c>
      <c r="G7" s="3" t="str" cm="1">
        <f t="array" ref="G7">_xlfn.IFS(C7&gt;=100000,"EXECUTIVE",C7&gt;=80000,"SENIOR",C7&gt;=65000,"MID LEVEL",C7&lt;65000,"JUNIOR")</f>
        <v>MID LEVEL</v>
      </c>
      <c r="H7" s="9" t="str" cm="1">
        <f t="array" ref="H7">_xlfn.IFS(AND(D7="EXCELLENT",E7&gt;="10 YEARS"),"PROMOTION CANDIDATE",(D7="AVERAGE"),"NEEDS IMPROVEMENT","TRUE","ON TRACK")</f>
        <v>NEEDS IMPROVEMENT</v>
      </c>
      <c r="K7" s="5" t="s">
        <v>85</v>
      </c>
      <c r="L7" t="s">
        <v>257</v>
      </c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>
        <v>3</v>
      </c>
      <c r="F8" s="12" t="str" cm="1">
        <f t="array" ref="F8">_xlfn.IFS(AND(D8="EXCELLENT",C8&gt;=80000),"A+",AND(D8="EXCELLENT",C8&lt;80000),"A",D8="GOOD","B",D8="AVERAGE","B",TRUE,"D")</f>
        <v>B</v>
      </c>
      <c r="G8" s="3" t="str" cm="1">
        <f t="array" ref="G8">_xlfn.IFS(C8&gt;=100000,"EXECUTIVE",C8&gt;=80000,"SENIOR",C8&gt;=65000,"MID LEVEL",C8&lt;65000,"JUNIOR")</f>
        <v>JUNIOR</v>
      </c>
      <c r="H8" s="9" t="str" cm="1">
        <f t="array" ref="H8">_xlfn.IFS(AND(D8="EXCELLENT",E8&gt;="10 YEARS"),"PROMOTION CANDIDATE",(D8="AVERAGE"),"NEEDS IMPROVEMENT","TRUE","ON TRACK")</f>
        <v>ON TRACK</v>
      </c>
      <c r="L8" s="49"/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>
        <v>22</v>
      </c>
      <c r="F9" s="12" t="str" cm="1">
        <f t="array" ref="F9">_xlfn.IFS(AND(D9="EXCELLENT",C9&gt;=80000),"A+",AND(D9="EXCELLENT",C9&lt;80000),"A",D9="GOOD","B",D9="AVERAGE","B",TRUE,"D")</f>
        <v>B</v>
      </c>
      <c r="G9" s="3" t="str" cm="1">
        <f t="array" ref="G9">_xlfn.IFS(C9&gt;=100000,"EXECUTIVE",C9&gt;=80000,"SENIOR",C9&gt;=65000,"MID LEVEL",C9&lt;65000,"JUNIOR")</f>
        <v>MID LEVEL</v>
      </c>
      <c r="H9" s="9" t="str" cm="1">
        <f t="array" ref="H9">_xlfn.IFS(AND(D9="EXCELLENT",E9&gt;="10 YEARS"),"PROMOTION CANDIDATE",(D9="AVERAGE"),"NEEDS IMPROVEMENT","TRUE","ON TRACK")</f>
        <v>NEEDS IMPROVEMENT</v>
      </c>
      <c r="L9" s="49" t="s">
        <v>258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>
        <v>14</v>
      </c>
      <c r="F10" s="12" t="str" cm="1">
        <f t="array" ref="F10">_xlfn.IFS(AND(D10="EXCELLENT",C10&gt;=80000),"A+",AND(D10="EXCELLENT",C10&lt;80000),"A",D10="GOOD","B",D10="AVERAGE","B",TRUE,"D")</f>
        <v>A+</v>
      </c>
      <c r="G10" s="3" t="str" cm="1">
        <f t="array" ref="G10">_xlfn.IFS(C10&gt;=100000,"EXECUTIVE",C10&gt;=80000,"SENIOR",C10&gt;=65000,"MID LEVEL",C10&lt;65000,"JUNIOR")</f>
        <v>SENIOR</v>
      </c>
      <c r="H10" s="9" t="str" cm="1">
        <f t="array" ref="H10">_xlfn.IFS(AND(D10="EXCELLENT",E10&gt;="10 YEARS"),"PROMOTION CANDIDATE",(D10="AVERAGE"),"NEEDS IMPROVEMENT","TRUE","ON TRACK")</f>
        <v>ON TRACK</v>
      </c>
      <c r="L10" s="49" t="s">
        <v>259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>
        <v>1</v>
      </c>
      <c r="F11" s="12" t="str" cm="1">
        <f t="array" ref="F11">_xlfn.IFS(AND(D11="EXCELLENT",C11&gt;=80000),"A+",AND(D11="EXCELLENT",C11&lt;80000),"A",D11="GOOD","B",D11="AVERAGE","B",TRUE,"D")</f>
        <v>B</v>
      </c>
      <c r="G11" s="3" t="str" cm="1">
        <f t="array" ref="G11">_xlfn.IFS(C11&gt;=100000,"EXECUTIVE",C11&gt;=80000,"SENIOR",C11&gt;=65000,"MID LEVEL",C11&lt;65000,"JUNIOR")</f>
        <v>JUNIOR</v>
      </c>
      <c r="H11" s="9" t="str" cm="1">
        <f t="array" ref="H11">_xlfn.IFS(AND(D11="EXCELLENT",E11&gt;="10 YEARS"),"PROMOTION CANDIDATE",(D11="AVERAGE"),"NEEDS IMPROVEMENT","TRUE","ON TRACK")</f>
        <v>ON TRACK</v>
      </c>
      <c r="L11" s="49" t="s">
        <v>260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>
        <v>12</v>
      </c>
      <c r="F12" s="12" t="str" cm="1">
        <f t="array" ref="F12">_xlfn.IFS(AND(D12="EXCELLENT",C12&gt;=80000),"A+",AND(D12="EXCELLENT",C12&lt;80000),"A",D12="GOOD","B",D12="AVERAGE","B",TRUE,"D")</f>
        <v>A</v>
      </c>
      <c r="G12" s="3" t="str" cm="1">
        <f t="array" ref="G12">_xlfn.IFS(C12&gt;=100000,"EXECUTIVE",C12&gt;=80000,"SENIOR",C12&gt;=65000,"MID LEVEL",C12&lt;65000,"JUNIOR")</f>
        <v>MID LEVEL</v>
      </c>
      <c r="H12" s="9" t="str" cm="1">
        <f t="array" ref="H12">_xlfn.IFS(AND(D12="EXCELLENT",E12&gt;="10 YEARS"),"PROMOTION CANDIDATE",(D12="AVERAGE"),"NEEDS IMPROVEMENT","TRUE","ON TRACK")</f>
        <v>ON TRACK</v>
      </c>
      <c r="L12" s="49" t="s">
        <v>261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>
        <v>5</v>
      </c>
      <c r="F13" s="12" t="str" cm="1">
        <f t="array" ref="F13">_xlfn.IFS(AND(D13="EXCELLENT",C13&gt;=80000),"A+",AND(D13="EXCELLENT",C13&lt;80000),"A",D13="GOOD","B",D13="AVERAGE","B",TRUE,"D")</f>
        <v>B</v>
      </c>
      <c r="G13" s="3" t="str" cm="1">
        <f t="array" ref="G13">_xlfn.IFS(C13&gt;=100000,"EXECUTIVE",C13&gt;=80000,"SENIOR",C13&gt;=65000,"MID LEVEL",C13&lt;65000,"JUNIOR")</f>
        <v>SENIOR</v>
      </c>
      <c r="H13" s="9" t="str" cm="1">
        <f t="array" ref="H13">_xlfn.IFS(AND(D13="EXCELLENT",E13&gt;="10 YEARS"),"PROMOTION CANDIDATE",(D13="AVERAGE"),"NEEDS IMPROVEMENT","TRUE","ON TRACK")</f>
        <v>NEEDS IMPROVEMENT</v>
      </c>
      <c r="L13" s="49" t="s">
        <v>262</v>
      </c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>
        <v>10</v>
      </c>
      <c r="F14" s="12" t="str" cm="1">
        <f t="array" ref="F14">_xlfn.IFS(AND(D14="EXCELLENT",C14&gt;=80000),"A+",AND(D14="EXCELLENT",C14&lt;80000),"A",D14="GOOD","B",D14="AVERAGE","B",TRUE,"D")</f>
        <v>B</v>
      </c>
      <c r="G14" s="3" t="str" cm="1">
        <f t="array" ref="G14">_xlfn.IFS(C14&gt;=100000,"EXECUTIVE",C14&gt;=80000,"SENIOR",C14&gt;=65000,"MID LEVEL",C14&lt;65000,"JUNIOR")</f>
        <v>SENIOR</v>
      </c>
      <c r="H14" s="9" t="str" cm="1">
        <f t="array" ref="H14">_xlfn.IFS(AND(D14="EXCELLENT",E14&gt;="10 YEARS"),"PROMOTION CANDIDATE",(D14="AVERAGE"),"NEEDS IMPROVEMENT","TRUE","ON TRACK")</f>
        <v>ON TRACK</v>
      </c>
      <c r="L14" s="49"/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>
        <v>20</v>
      </c>
      <c r="F15" s="12" t="str" cm="1">
        <f t="array" ref="F15">_xlfn.IFS(AND(D15="EXCELLENT",C15&gt;=80000),"A+",AND(D15="EXCELLENT",C15&lt;80000),"A",D15="GOOD","B",D15="AVERAGE","B",TRUE,"D")</f>
        <v>B</v>
      </c>
      <c r="G15" s="3" t="str" cm="1">
        <f t="array" ref="G15">_xlfn.IFS(C15&gt;=100000,"EXECUTIVE",C15&gt;=80000,"SENIOR",C15&gt;=65000,"MID LEVEL",C15&lt;65000,"JUNIOR")</f>
        <v>JUNIOR</v>
      </c>
      <c r="H15" s="9" t="str" cm="1">
        <f t="array" ref="H15">_xlfn.IFS(AND(D15="EXCELLENT",E15&gt;="10 YEARS"),"PROMOTION CANDIDATE",(D15="AVERAGE"),"NEEDS IMPROVEMENT","TRUE","ON TRACK")</f>
        <v>NEEDS IMPROVEMENT</v>
      </c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>
        <v>8</v>
      </c>
      <c r="F16" s="12" t="str" cm="1">
        <f t="array" ref="F16">_xlfn.IFS(AND(D16="EXCELLENT",C16&gt;=80000),"A+",AND(D16="EXCELLENT",C16&lt;80000),"A",D16="GOOD","B",D16="AVERAGE","B",TRUE,"D")</f>
        <v>B</v>
      </c>
      <c r="G16" s="3" t="str" cm="1">
        <f t="array" ref="G16">_xlfn.IFS(C16&gt;=100000,"EXECUTIVE",C16&gt;=80000,"SENIOR",C16&gt;=65000,"MID LEVEL",C16&lt;65000,"JUNIOR")</f>
        <v>JUNIOR</v>
      </c>
      <c r="H16" s="9" t="str" cm="1">
        <f t="array" ref="H16">_xlfn.IFS(AND(D16="EXCELLENT",E16&gt;="10 YEARS"),"PROMOTION CANDIDATE",(D16="AVERAGE"),"NEEDS IMPROVEMENT","TRUE","ON TRACK")</f>
        <v>ON TRACK</v>
      </c>
      <c r="K16" s="5" t="s">
        <v>86</v>
      </c>
      <c r="L16" t="s">
        <v>272</v>
      </c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>
        <v>28</v>
      </c>
      <c r="F17" s="12" t="str" cm="1">
        <f t="array" ref="F17">_xlfn.IFS(AND(D17="EXCELLENT",C17&gt;=80000),"A+",AND(D17="EXCELLENT",C17&lt;80000),"A",D17="GOOD","B",D17="AVERAGE","B",TRUE,"D")</f>
        <v>A+</v>
      </c>
      <c r="G17" s="3" t="str" cm="1">
        <f t="array" ref="G17">_xlfn.IFS(C17&gt;=100000,"EXECUTIVE",C17&gt;=80000,"SENIOR",C17&gt;=65000,"MID LEVEL",C17&lt;65000,"JUNIOR")</f>
        <v>EXECUTIVE</v>
      </c>
      <c r="H17" s="9" t="str" cm="1">
        <f t="array" ref="H17">_xlfn.IFS(AND(D17="EXCELLENT",E17&gt;="10 YEARS"),"PROMOTION CANDIDATE",(D17="AVERAGE"),"NEEDS IMPROVEMENT","TRUE","ON TRACK")</f>
        <v>ON TRACK</v>
      </c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>
        <v>3</v>
      </c>
      <c r="F18" s="12" t="str" cm="1">
        <f t="array" ref="F18">_xlfn.IFS(AND(D18="EXCELLENT",C18&gt;=80000),"A+",AND(D18="EXCELLENT",C18&lt;80000),"A",D18="GOOD","B",D18="AVERAGE","B",TRUE,"D")</f>
        <v>A</v>
      </c>
      <c r="G18" s="3" t="str" cm="1">
        <f t="array" ref="G18">_xlfn.IFS(C18&gt;=100000,"EXECUTIVE",C18&gt;=80000,"SENIOR",C18&gt;=65000,"MID LEVEL",C18&lt;65000,"JUNIOR")</f>
        <v>MID LEVEL</v>
      </c>
      <c r="H18" s="9" t="str" cm="1">
        <f t="array" ref="H18">_xlfn.IFS(AND(D18="EXCELLENT",E18&gt;="10 YEARS"),"PROMOTION CANDIDATE",(D18="AVERAGE"),"NEEDS IMPROVEMENT","TRUE","ON TRACK")</f>
        <v>ON TRACK</v>
      </c>
      <c r="L18" t="s">
        <v>274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>
        <v>16</v>
      </c>
      <c r="F19" s="12" t="str" cm="1">
        <f t="array" ref="F19">_xlfn.IFS(AND(D19="EXCELLENT",C19&gt;=80000),"A+",AND(D19="EXCELLENT",C19&lt;80000),"A",D19="GOOD","B",D19="AVERAGE","B",TRUE,"D")</f>
        <v>B</v>
      </c>
      <c r="G19" s="3" t="str" cm="1">
        <f t="array" ref="G19">_xlfn.IFS(C19&gt;=100000,"EXECUTIVE",C19&gt;=80000,"SENIOR",C19&gt;=65000,"MID LEVEL",C19&lt;65000,"JUNIOR")</f>
        <v>MID LEVEL</v>
      </c>
      <c r="H19" s="9" t="str" cm="1">
        <f t="array" ref="H19">_xlfn.IFS(AND(D19="EXCELLENT",E19&gt;="10 YEARS"),"PROMOTION CANDIDATE",(D19="AVERAGE"),"NEEDS IMPROVEMENT","TRUE","ON TRACK")</f>
        <v>ON TRACK</v>
      </c>
      <c r="L19" t="s">
        <v>273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>
        <v>6</v>
      </c>
      <c r="F20" s="12" t="str" cm="1">
        <f t="array" ref="F20">_xlfn.IFS(AND(D20="EXCELLENT",C20&gt;=80000),"A+",AND(D20="EXCELLENT",C20&lt;80000),"A",D20="GOOD","B",D20="AVERAGE","B",TRUE,"D")</f>
        <v>B</v>
      </c>
      <c r="G20" s="3" t="str" cm="1">
        <f t="array" ref="G20">_xlfn.IFS(C20&gt;=100000,"EXECUTIVE",C20&gt;=80000,"SENIOR",C20&gt;=65000,"MID LEVEL",C20&lt;65000,"JUNIOR")</f>
        <v>JUNIOR</v>
      </c>
      <c r="H20" s="9" t="str" cm="1">
        <f t="array" ref="H20">_xlfn.IFS(AND(D20="EXCELLENT",E20&gt;="10 YEARS"),"PROMOTION CANDIDATE",(D20="AVERAGE"),"NEEDS IMPROVEMENT","TRUE","ON TRACK")</f>
        <v>NEEDS IMPROVEMENT</v>
      </c>
      <c r="L20" t="s">
        <v>275</v>
      </c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>
        <v>13</v>
      </c>
      <c r="F21" s="12" t="str" cm="1">
        <f t="array" ref="F21">_xlfn.IFS(AND(D21="EXCELLENT",C21&gt;=80000),"A+",AND(D21="EXCELLENT",C21&lt;80000),"A",D21="GOOD","B",D21="AVERAGE","B",TRUE,"D")</f>
        <v>A+</v>
      </c>
      <c r="G21" s="3" t="str" cm="1">
        <f t="array" ref="G21">_xlfn.IFS(C21&gt;=100000,"EXECUTIVE",C21&gt;=80000,"SENIOR",C21&gt;=65000,"MID LEVEL",C21&lt;65000,"JUNIOR")</f>
        <v>SENIOR</v>
      </c>
      <c r="H21" s="9" t="str" cm="1">
        <f t="array" ref="H21">_xlfn.IFS(AND(D21="EXCELLENT",E21&gt;="10 YEARS"),"PROMOTION CANDIDATE",(D21="AVERAGE"),"NEEDS IMPROVEMENT","TRUE","ON TRACK")</f>
        <v>ON TRACK</v>
      </c>
      <c r="L21" t="s">
        <v>276</v>
      </c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>
        <v>2</v>
      </c>
      <c r="F22" s="12" t="str" cm="1">
        <f t="array" ref="F22">_xlfn.IFS(AND(D22="EXCELLENT",C22&gt;=80000),"A+",AND(D22="EXCELLENT",C22&lt;80000),"A",D22="GOOD","B",D22="AVERAGE","B",TRUE,"D")</f>
        <v>B</v>
      </c>
      <c r="G22" s="3" t="str" cm="1">
        <f t="array" ref="G22">_xlfn.IFS(C22&gt;=100000,"EXECUTIVE",C22&gt;=80000,"SENIOR",C22&gt;=65000,"MID LEVEL",C22&lt;65000,"JUNIOR")</f>
        <v>MID LEVEL</v>
      </c>
      <c r="H22" s="9" t="str" cm="1">
        <f t="array" ref="H22">_xlfn.IFS(AND(D22="EXCELLENT",E22&gt;="10 YEARS"),"PROMOTION CANDIDATE",(D22="AVERAGE"),"NEEDS IMPROVEMENT","TRUE","ON TRACK")</f>
        <v>ON TRACK</v>
      </c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>
        <v>24</v>
      </c>
      <c r="F23" s="12" t="str" cm="1">
        <f t="array" ref="F23">_xlfn.IFS(AND(D23="EXCELLENT",C23&gt;=80000),"A+",AND(D23="EXCELLENT",C23&lt;80000),"A",D23="GOOD","B",D23="AVERAGE","B",TRUE,"D")</f>
        <v>B</v>
      </c>
      <c r="G23" s="3" t="str" cm="1">
        <f t="array" ref="G23">_xlfn.IFS(C23&gt;=100000,"EXECUTIVE",C23&gt;=80000,"SENIOR",C23&gt;=65000,"MID LEVEL",C23&lt;65000,"JUNIOR")</f>
        <v>MID LEVEL</v>
      </c>
      <c r="H23" s="9" t="str" cm="1">
        <f t="array" ref="H23">_xlfn.IFS(AND(D23="EXCELLENT",E23&gt;="10 YEARS"),"PROMOTION CANDIDATE",(D23="AVERAGE"),"NEEDS IMPROVEMENT","TRUE","ON TRACK")</f>
        <v>NEEDS IMPROVEMENT</v>
      </c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>
        <v>9</v>
      </c>
      <c r="F24" s="12" t="str" cm="1">
        <f t="array" ref="F24">_xlfn.IFS(AND(D24="EXCELLENT",C24&gt;=80000),"A+",AND(D24="EXCELLENT",C24&lt;80000),"A",D24="GOOD","B",D24="AVERAGE","B",TRUE,"D")</f>
        <v>A</v>
      </c>
      <c r="G24" s="3" t="str" cm="1">
        <f t="array" ref="G24">_xlfn.IFS(C24&gt;=100000,"EXECUTIVE",C24&gt;=80000,"SENIOR",C24&gt;=65000,"MID LEVEL",C24&lt;65000,"JUNIOR")</f>
        <v>JUNIOR</v>
      </c>
      <c r="H24" s="9" t="str" cm="1">
        <f t="array" ref="H24">_xlfn.IFS(AND(D24="EXCELLENT",E24&gt;="10 YEARS"),"PROMOTION CANDIDATE",(D24="AVERAGE"),"NEEDS IMPROVEMENT","TRUE","ON TRACK")</f>
        <v>ON TRACK</v>
      </c>
      <c r="K24" s="5" t="s">
        <v>87</v>
      </c>
      <c r="L24" t="s">
        <v>263</v>
      </c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>
        <v>15</v>
      </c>
      <c r="F25" s="12" t="str" cm="1">
        <f t="array" ref="F25">_xlfn.IFS(AND(D25="EXCELLENT",C25&gt;=80000),"A+",AND(D25="EXCELLENT",C25&lt;80000),"A",D25="GOOD","B",D25="AVERAGE","B",TRUE,"D")</f>
        <v>B</v>
      </c>
      <c r="G25" s="3" t="str" cm="1">
        <f t="array" ref="G25">_xlfn.IFS(C25&gt;=100000,"EXECUTIVE",C25&gt;=80000,"SENIOR",C25&gt;=65000,"MID LEVEL",C25&lt;65000,"JUNIOR")</f>
        <v>MID LEVEL</v>
      </c>
      <c r="H25" s="9" t="str" cm="1">
        <f t="array" ref="H25">_xlfn.IFS(AND(D25="EXCELLENT",E25&gt;="10 YEARS"),"PROMOTION CANDIDATE",(D25="AVERAGE"),"NEEDS IMPROVEMENT","TRUE","ON TRACK")</f>
        <v>ON TRACK</v>
      </c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>
        <v>8</v>
      </c>
      <c r="F26" s="12" t="str" cm="1">
        <f t="array" ref="F26">_xlfn.IFS(AND(D26="EXCELLENT",C26&gt;=80000),"A+",AND(D26="EXCELLENT",C26&lt;80000),"A",D26="GOOD","B",D26="AVERAGE","B",TRUE,"D")</f>
        <v>A+</v>
      </c>
      <c r="G26" s="3" t="str" cm="1">
        <f t="array" ref="G26">_xlfn.IFS(C26&gt;=100000,"EXECUTIVE",C26&gt;=80000,"SENIOR",C26&gt;=65000,"MID LEVEL",C26&lt;65000,"JUNIOR")</f>
        <v>SENIOR</v>
      </c>
      <c r="H26" s="9" t="str" cm="1">
        <f t="array" ref="H26">_xlfn.IFS(AND(D26="EXCELLENT",E26&gt;="10 YEARS"),"PROMOTION CANDIDATE",(D26="AVERAGE"),"NEEDS IMPROVEMENT","TRUE","ON TRACK")</f>
        <v>ON TRACK</v>
      </c>
      <c r="L26" t="s">
        <v>264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>
        <v>18</v>
      </c>
      <c r="F27" s="12" t="str" cm="1">
        <f t="array" ref="F27">_xlfn.IFS(AND(D27="EXCELLENT",C27&gt;=80000),"A+",AND(D27="EXCELLENT",C27&lt;80000),"A",D27="GOOD","B",D27="AVERAGE","B",TRUE,"D")</f>
        <v>B</v>
      </c>
      <c r="G27" s="3" t="str" cm="1">
        <f t="array" ref="G27">_xlfn.IFS(C27&gt;=100000,"EXECUTIVE",C27&gt;=80000,"SENIOR",C27&gt;=65000,"MID LEVEL",C27&lt;65000,"JUNIOR")</f>
        <v>JUNIOR</v>
      </c>
      <c r="H27" s="9" t="str" cm="1">
        <f t="array" ref="H27">_xlfn.IFS(AND(D27="EXCELLENT",E27&gt;="10 YEARS"),"PROMOTION CANDIDATE",(D27="AVERAGE"),"NEEDS IMPROVEMENT","TRUE","ON TRACK")</f>
        <v>NEEDS IMPROVEMENT</v>
      </c>
      <c r="L27" t="s">
        <v>265</v>
      </c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>
        <v>4</v>
      </c>
      <c r="F28" s="12" t="str" cm="1">
        <f t="array" ref="F28">_xlfn.IFS(AND(D28="EXCELLENT",C28&gt;=80000),"A+",AND(D28="EXCELLENT",C28&lt;80000),"A",D28="GOOD","B",D28="AVERAGE","B",TRUE,"D")</f>
        <v>B</v>
      </c>
      <c r="G28" s="3" t="str" cm="1">
        <f t="array" ref="G28">_xlfn.IFS(C28&gt;=100000,"EXECUTIVE",C28&gt;=80000,"SENIOR",C28&gt;=65000,"MID LEVEL",C28&lt;65000,"JUNIOR")</f>
        <v>MID LEVEL</v>
      </c>
      <c r="H28" s="9" t="str" cm="1">
        <f t="array" ref="H28">_xlfn.IFS(AND(D28="EXCELLENT",E28&gt;="10 YEARS"),"PROMOTION CANDIDATE",(D28="AVERAGE"),"NEEDS IMPROVEMENT","TRUE","ON TRACK")</f>
        <v>ON TRACK</v>
      </c>
      <c r="L28" t="s">
        <v>266</v>
      </c>
    </row>
    <row r="30" spans="1:12" ht="27.75" customHeight="1" x14ac:dyDescent="0.3"/>
    <row r="31" spans="1:12" ht="24" customHeight="1" x14ac:dyDescent="0.3"/>
    <row r="32" spans="1:12" ht="24" customHeight="1" x14ac:dyDescent="0.3"/>
    <row r="38" spans="12:12" x14ac:dyDescent="0.3">
      <c r="L38" s="49"/>
    </row>
    <row r="39" spans="12:12" x14ac:dyDescent="0.3">
      <c r="L39" s="49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A1:L33"/>
  <sheetViews>
    <sheetView showGridLines="0" topLeftCell="E1" zoomScaleNormal="100" workbookViewId="0">
      <pane ySplit="3" topLeftCell="A4" activePane="bottomLeft" state="frozen"/>
      <selection pane="bottomLeft" activeCell="J4" sqref="J4"/>
    </sheetView>
  </sheetViews>
  <sheetFormatPr defaultColWidth="8.6640625" defaultRowHeight="14.4" x14ac:dyDescent="0.3"/>
  <cols>
    <col min="1" max="1" width="10" customWidth="1"/>
    <col min="2" max="2" width="18" customWidth="1"/>
    <col min="3" max="5" width="10" customWidth="1"/>
    <col min="6" max="7" width="18" customWidth="1"/>
    <col min="8" max="8" width="22" customWidth="1"/>
    <col min="11" max="11" width="18.109375" customWidth="1"/>
  </cols>
  <sheetData>
    <row r="1" spans="1:12" ht="36" customHeight="1" x14ac:dyDescent="0.3">
      <c r="A1" s="52" t="s">
        <v>88</v>
      </c>
      <c r="B1" s="52"/>
      <c r="C1" s="52"/>
      <c r="D1" s="52"/>
      <c r="E1" s="52"/>
      <c r="F1" s="52"/>
      <c r="G1" s="52"/>
      <c r="H1" s="52"/>
    </row>
    <row r="2" spans="1:12" ht="30" customHeight="1" x14ac:dyDescent="0.3">
      <c r="A2" s="53" t="s">
        <v>89</v>
      </c>
      <c r="B2" s="53"/>
      <c r="C2" s="53"/>
      <c r="D2" s="53"/>
      <c r="E2" s="53"/>
      <c r="F2" s="53"/>
      <c r="G2" s="53"/>
      <c r="H2" s="53"/>
    </row>
    <row r="3" spans="1:12" ht="21.75" customHeight="1" x14ac:dyDescent="0.3">
      <c r="A3" s="5" t="s">
        <v>1</v>
      </c>
      <c r="B3" s="5" t="s">
        <v>2</v>
      </c>
      <c r="C3" s="5" t="s">
        <v>5</v>
      </c>
      <c r="D3" s="5" t="s">
        <v>7</v>
      </c>
      <c r="E3" s="5" t="s">
        <v>12</v>
      </c>
      <c r="F3" s="5" t="s">
        <v>90</v>
      </c>
      <c r="G3" s="5" t="s">
        <v>91</v>
      </c>
      <c r="H3" s="5" t="s">
        <v>92</v>
      </c>
    </row>
    <row r="4" spans="1:12" ht="15" customHeight="1" x14ac:dyDescent="0.3">
      <c r="A4" s="8" t="s">
        <v>13</v>
      </c>
      <c r="B4" s="9" t="s">
        <v>14</v>
      </c>
      <c r="C4" s="8">
        <v>62000</v>
      </c>
      <c r="D4" s="8" t="s">
        <v>16</v>
      </c>
      <c r="E4" s="8" t="s">
        <v>19</v>
      </c>
      <c r="F4" s="2" t="str">
        <f>IF(AND(D4="EXCELLENT",C4&gt;=70000,E4="YES"),"ELIGIBLE","NOT ELIGIBLE")</f>
        <v>NOT ELIGIBLE</v>
      </c>
      <c r="G4" s="3" t="str">
        <f>IF(OR(C4&gt;=90000,D4="EXCELLENT"),"HIGH PRIORITY","NORMAL")</f>
        <v>HIGH PRIORITY</v>
      </c>
      <c r="H4" s="9" t="str">
        <f>IF(NOT(E4="YES"),"INACTIVE EMPLOYEE","ACTIVE &amp; WORKING")</f>
        <v>ACTIVE &amp; WORKING</v>
      </c>
    </row>
    <row r="5" spans="1:12" ht="15" customHeight="1" x14ac:dyDescent="0.3">
      <c r="A5" s="6" t="s">
        <v>20</v>
      </c>
      <c r="B5" s="7" t="s">
        <v>21</v>
      </c>
      <c r="C5" s="6">
        <v>75000</v>
      </c>
      <c r="D5" s="6" t="s">
        <v>23</v>
      </c>
      <c r="E5" s="6" t="s">
        <v>19</v>
      </c>
      <c r="F5" s="2" t="str">
        <f t="shared" ref="F5:F28" si="0">IF(AND(D5="EXCELLENT",C5&gt;=70000,E5="YES"),"ELIGIBLE","NOT ELIGIBLE")</f>
        <v>NOT ELIGIBLE</v>
      </c>
      <c r="G5" s="3" t="str">
        <f t="shared" ref="G5:G28" si="1">IF(OR(C5&gt;=90000,D5="EXCELLENT"),"HIGH PRIORITY","NORMAL")</f>
        <v>NORMAL</v>
      </c>
      <c r="H5" s="9" t="str">
        <f t="shared" ref="H5:H28" si="2">IF(NOT(E5="YES"),"INACTIVE EMPLOYEE","ACTIVE &amp; WORKING")</f>
        <v>ACTIVE &amp; WORKING</v>
      </c>
    </row>
    <row r="6" spans="1:12" ht="15" customHeight="1" x14ac:dyDescent="0.3">
      <c r="A6" s="8" t="s">
        <v>26</v>
      </c>
      <c r="B6" s="9" t="s">
        <v>27</v>
      </c>
      <c r="C6" s="8">
        <v>90000</v>
      </c>
      <c r="D6" s="8" t="s">
        <v>16</v>
      </c>
      <c r="E6" s="8" t="s">
        <v>19</v>
      </c>
      <c r="F6" s="2" t="str">
        <f t="shared" si="0"/>
        <v>ELIGIBLE</v>
      </c>
      <c r="G6" s="3" t="str">
        <f t="shared" si="1"/>
        <v>HIGH PRIORITY</v>
      </c>
      <c r="H6" s="9" t="str">
        <f t="shared" si="2"/>
        <v>ACTIVE &amp; WORKING</v>
      </c>
      <c r="K6" s="5" t="s">
        <v>90</v>
      </c>
      <c r="L6" t="s">
        <v>267</v>
      </c>
    </row>
    <row r="7" spans="1:12" ht="15" customHeight="1" x14ac:dyDescent="0.3">
      <c r="A7" s="6" t="s">
        <v>30</v>
      </c>
      <c r="B7" s="7" t="s">
        <v>31</v>
      </c>
      <c r="C7" s="6">
        <v>71000</v>
      </c>
      <c r="D7" s="6" t="s">
        <v>32</v>
      </c>
      <c r="E7" s="6" t="s">
        <v>19</v>
      </c>
      <c r="F7" s="2" t="str">
        <f t="shared" si="0"/>
        <v>NOT ELIGIBLE</v>
      </c>
      <c r="G7" s="3" t="str">
        <f t="shared" si="1"/>
        <v>NORMAL</v>
      </c>
      <c r="H7" s="9" t="str">
        <f t="shared" si="2"/>
        <v>ACTIVE &amp; WORKING</v>
      </c>
    </row>
    <row r="8" spans="1:12" ht="15" customHeight="1" x14ac:dyDescent="0.3">
      <c r="A8" s="8" t="s">
        <v>34</v>
      </c>
      <c r="B8" s="9" t="s">
        <v>35</v>
      </c>
      <c r="C8" s="8">
        <v>55000</v>
      </c>
      <c r="D8" s="8" t="s">
        <v>23</v>
      </c>
      <c r="E8" s="8" t="s">
        <v>19</v>
      </c>
      <c r="F8" s="2" t="str">
        <f t="shared" si="0"/>
        <v>NOT ELIGIBLE</v>
      </c>
      <c r="G8" s="3" t="str">
        <f t="shared" si="1"/>
        <v>NORMAL</v>
      </c>
      <c r="H8" s="9" t="str">
        <f t="shared" si="2"/>
        <v>ACTIVE &amp; WORKING</v>
      </c>
      <c r="L8" t="s">
        <v>268</v>
      </c>
    </row>
    <row r="9" spans="1:12" ht="15" customHeight="1" x14ac:dyDescent="0.3">
      <c r="A9" s="6" t="s">
        <v>37</v>
      </c>
      <c r="B9" s="7" t="s">
        <v>38</v>
      </c>
      <c r="C9" s="6">
        <v>68000</v>
      </c>
      <c r="D9" s="6" t="s">
        <v>32</v>
      </c>
      <c r="E9" s="6" t="s">
        <v>39</v>
      </c>
      <c r="F9" s="2" t="str">
        <f t="shared" si="0"/>
        <v>NOT ELIGIBLE</v>
      </c>
      <c r="G9" s="3" t="str">
        <f t="shared" si="1"/>
        <v>NORMAL</v>
      </c>
      <c r="H9" s="9" t="str">
        <f t="shared" si="2"/>
        <v>INACTIVE EMPLOYEE</v>
      </c>
      <c r="L9" s="49" t="s">
        <v>269</v>
      </c>
    </row>
    <row r="10" spans="1:12" ht="15" customHeight="1" x14ac:dyDescent="0.3">
      <c r="A10" s="8" t="s">
        <v>40</v>
      </c>
      <c r="B10" s="9" t="s">
        <v>41</v>
      </c>
      <c r="C10" s="8">
        <v>95000</v>
      </c>
      <c r="D10" s="8" t="s">
        <v>16</v>
      </c>
      <c r="E10" s="8" t="s">
        <v>19</v>
      </c>
      <c r="F10" s="2" t="str">
        <f t="shared" si="0"/>
        <v>ELIGIBLE</v>
      </c>
      <c r="G10" s="3" t="str">
        <f t="shared" si="1"/>
        <v>HIGH PRIORITY</v>
      </c>
      <c r="H10" s="9" t="str">
        <f t="shared" si="2"/>
        <v>ACTIVE &amp; WORKING</v>
      </c>
      <c r="L10" s="49" t="s">
        <v>270</v>
      </c>
    </row>
    <row r="11" spans="1:12" ht="15" customHeight="1" x14ac:dyDescent="0.3">
      <c r="A11" s="6" t="s">
        <v>42</v>
      </c>
      <c r="B11" s="7" t="s">
        <v>43</v>
      </c>
      <c r="C11" s="6">
        <v>58000</v>
      </c>
      <c r="D11" s="6" t="s">
        <v>23</v>
      </c>
      <c r="E11" s="6" t="s">
        <v>19</v>
      </c>
      <c r="F11" s="2" t="str">
        <f t="shared" si="0"/>
        <v>NOT ELIGIBLE</v>
      </c>
      <c r="G11" s="3" t="str">
        <f t="shared" si="1"/>
        <v>NORMAL</v>
      </c>
      <c r="H11" s="9" t="str">
        <f t="shared" si="2"/>
        <v>ACTIVE &amp; WORKING</v>
      </c>
      <c r="L11" s="49" t="s">
        <v>271</v>
      </c>
    </row>
    <row r="12" spans="1:12" ht="15" customHeight="1" x14ac:dyDescent="0.3">
      <c r="A12" s="8" t="s">
        <v>44</v>
      </c>
      <c r="B12" s="9" t="s">
        <v>45</v>
      </c>
      <c r="C12" s="8">
        <v>72000</v>
      </c>
      <c r="D12" s="8" t="s">
        <v>16</v>
      </c>
      <c r="E12" s="8" t="s">
        <v>19</v>
      </c>
      <c r="F12" s="2" t="str">
        <f t="shared" si="0"/>
        <v>ELIGIBLE</v>
      </c>
      <c r="G12" s="3" t="str">
        <f t="shared" si="1"/>
        <v>HIGH PRIORITY</v>
      </c>
      <c r="H12" s="9" t="str">
        <f t="shared" si="2"/>
        <v>ACTIVE &amp; WORKING</v>
      </c>
      <c r="L12" t="s">
        <v>277</v>
      </c>
    </row>
    <row r="13" spans="1:12" ht="15" customHeight="1" x14ac:dyDescent="0.3">
      <c r="A13" s="6" t="s">
        <v>46</v>
      </c>
      <c r="B13" s="7" t="s">
        <v>47</v>
      </c>
      <c r="C13" s="6">
        <v>80000</v>
      </c>
      <c r="D13" s="6" t="s">
        <v>32</v>
      </c>
      <c r="E13" s="6" t="s">
        <v>19</v>
      </c>
      <c r="F13" s="2" t="str">
        <f t="shared" si="0"/>
        <v>NOT ELIGIBLE</v>
      </c>
      <c r="G13" s="3" t="str">
        <f t="shared" si="1"/>
        <v>NORMAL</v>
      </c>
      <c r="H13" s="9" t="str">
        <f t="shared" si="2"/>
        <v>ACTIVE &amp; WORKING</v>
      </c>
      <c r="L13" s="49"/>
    </row>
    <row r="14" spans="1:12" ht="15" customHeight="1" x14ac:dyDescent="0.3">
      <c r="A14" s="8" t="s">
        <v>48</v>
      </c>
      <c r="B14" s="9" t="s">
        <v>49</v>
      </c>
      <c r="C14" s="8">
        <v>82000</v>
      </c>
      <c r="D14" s="8" t="s">
        <v>23</v>
      </c>
      <c r="E14" s="8" t="s">
        <v>39</v>
      </c>
      <c r="F14" s="2" t="str">
        <f t="shared" si="0"/>
        <v>NOT ELIGIBLE</v>
      </c>
      <c r="G14" s="3" t="str">
        <f t="shared" si="1"/>
        <v>NORMAL</v>
      </c>
      <c r="H14" s="9" t="str">
        <f t="shared" si="2"/>
        <v>INACTIVE EMPLOYEE</v>
      </c>
    </row>
    <row r="15" spans="1:12" ht="15" customHeight="1" x14ac:dyDescent="0.3">
      <c r="A15" s="6" t="s">
        <v>50</v>
      </c>
      <c r="B15" s="7" t="s">
        <v>51</v>
      </c>
      <c r="C15" s="6">
        <v>63000</v>
      </c>
      <c r="D15" s="6" t="s">
        <v>32</v>
      </c>
      <c r="E15" s="6" t="s">
        <v>19</v>
      </c>
      <c r="F15" s="2" t="str">
        <f t="shared" si="0"/>
        <v>NOT ELIGIBLE</v>
      </c>
      <c r="G15" s="3" t="str">
        <f t="shared" si="1"/>
        <v>NORMAL</v>
      </c>
      <c r="H15" s="9" t="str">
        <f t="shared" si="2"/>
        <v>ACTIVE &amp; WORKING</v>
      </c>
      <c r="K15" s="5" t="s">
        <v>91</v>
      </c>
      <c r="L15" t="s">
        <v>278</v>
      </c>
    </row>
    <row r="16" spans="1:12" ht="15" customHeight="1" x14ac:dyDescent="0.3">
      <c r="A16" s="8" t="s">
        <v>52</v>
      </c>
      <c r="B16" s="9" t="s">
        <v>53</v>
      </c>
      <c r="C16" s="8">
        <v>60000</v>
      </c>
      <c r="D16" s="8" t="s">
        <v>23</v>
      </c>
      <c r="E16" s="8" t="s">
        <v>19</v>
      </c>
      <c r="F16" s="2" t="str">
        <f t="shared" si="0"/>
        <v>NOT ELIGIBLE</v>
      </c>
      <c r="G16" s="3" t="str">
        <f t="shared" si="1"/>
        <v>NORMAL</v>
      </c>
      <c r="H16" s="9" t="str">
        <f t="shared" si="2"/>
        <v>ACTIVE &amp; WORKING</v>
      </c>
      <c r="L16" s="49"/>
    </row>
    <row r="17" spans="1:12" ht="15" customHeight="1" x14ac:dyDescent="0.3">
      <c r="A17" s="6" t="s">
        <v>54</v>
      </c>
      <c r="B17" s="7" t="s">
        <v>55</v>
      </c>
      <c r="C17" s="6">
        <v>105000</v>
      </c>
      <c r="D17" s="6" t="s">
        <v>16</v>
      </c>
      <c r="E17" s="6" t="s">
        <v>19</v>
      </c>
      <c r="F17" s="2" t="str">
        <f t="shared" si="0"/>
        <v>ELIGIBLE</v>
      </c>
      <c r="G17" s="3" t="str">
        <f t="shared" si="1"/>
        <v>HIGH PRIORITY</v>
      </c>
      <c r="H17" s="9" t="str">
        <f t="shared" si="2"/>
        <v>ACTIVE &amp; WORKING</v>
      </c>
      <c r="L17" s="49" t="s">
        <v>279</v>
      </c>
    </row>
    <row r="18" spans="1:12" ht="15" customHeight="1" x14ac:dyDescent="0.3">
      <c r="A18" s="8" t="s">
        <v>56</v>
      </c>
      <c r="B18" s="9" t="s">
        <v>57</v>
      </c>
      <c r="C18" s="8">
        <v>70000</v>
      </c>
      <c r="D18" s="8" t="s">
        <v>16</v>
      </c>
      <c r="E18" s="8" t="s">
        <v>19</v>
      </c>
      <c r="F18" s="2" t="str">
        <f t="shared" si="0"/>
        <v>ELIGIBLE</v>
      </c>
      <c r="G18" s="3" t="str">
        <f t="shared" si="1"/>
        <v>HIGH PRIORITY</v>
      </c>
      <c r="H18" s="9" t="str">
        <f t="shared" si="2"/>
        <v>ACTIVE &amp; WORKING</v>
      </c>
      <c r="L18" s="49" t="s">
        <v>280</v>
      </c>
    </row>
    <row r="19" spans="1:12" ht="15" customHeight="1" x14ac:dyDescent="0.3">
      <c r="A19" s="6" t="s">
        <v>58</v>
      </c>
      <c r="B19" s="7" t="s">
        <v>59</v>
      </c>
      <c r="C19" s="6">
        <v>67000</v>
      </c>
      <c r="D19" s="6" t="s">
        <v>23</v>
      </c>
      <c r="E19" s="6" t="s">
        <v>39</v>
      </c>
      <c r="F19" s="2" t="str">
        <f t="shared" si="0"/>
        <v>NOT ELIGIBLE</v>
      </c>
      <c r="G19" s="3" t="str">
        <f t="shared" si="1"/>
        <v>NORMAL</v>
      </c>
      <c r="H19" s="9" t="str">
        <f t="shared" si="2"/>
        <v>INACTIVE EMPLOYEE</v>
      </c>
      <c r="L19" t="s">
        <v>281</v>
      </c>
    </row>
    <row r="20" spans="1:12" ht="15" customHeight="1" x14ac:dyDescent="0.3">
      <c r="A20" s="8" t="s">
        <v>60</v>
      </c>
      <c r="B20" s="9" t="s">
        <v>61</v>
      </c>
      <c r="C20" s="8">
        <v>58000</v>
      </c>
      <c r="D20" s="8" t="s">
        <v>32</v>
      </c>
      <c r="E20" s="8" t="s">
        <v>19</v>
      </c>
      <c r="F20" s="2" t="str">
        <f t="shared" si="0"/>
        <v>NOT ELIGIBLE</v>
      </c>
      <c r="G20" s="3" t="str">
        <f t="shared" si="1"/>
        <v>NORMAL</v>
      </c>
      <c r="H20" s="9" t="str">
        <f t="shared" si="2"/>
        <v>ACTIVE &amp; WORKING</v>
      </c>
    </row>
    <row r="21" spans="1:12" ht="15" customHeight="1" x14ac:dyDescent="0.3">
      <c r="A21" s="6" t="s">
        <v>62</v>
      </c>
      <c r="B21" s="7" t="s">
        <v>63</v>
      </c>
      <c r="C21" s="6">
        <v>88000</v>
      </c>
      <c r="D21" s="6" t="s">
        <v>16</v>
      </c>
      <c r="E21" s="6" t="s">
        <v>19</v>
      </c>
      <c r="F21" s="2" t="str">
        <f t="shared" si="0"/>
        <v>ELIGIBLE</v>
      </c>
      <c r="G21" s="3" t="str">
        <f t="shared" si="1"/>
        <v>HIGH PRIORITY</v>
      </c>
      <c r="H21" s="9" t="str">
        <f t="shared" si="2"/>
        <v>ACTIVE &amp; WORKING</v>
      </c>
    </row>
    <row r="22" spans="1:12" ht="15" customHeight="1" x14ac:dyDescent="0.3">
      <c r="A22" s="8" t="s">
        <v>64</v>
      </c>
      <c r="B22" s="9" t="s">
        <v>65</v>
      </c>
      <c r="C22" s="8">
        <v>76000</v>
      </c>
      <c r="D22" s="8" t="s">
        <v>23</v>
      </c>
      <c r="E22" s="8" t="s">
        <v>19</v>
      </c>
      <c r="F22" s="2" t="str">
        <f t="shared" si="0"/>
        <v>NOT ELIGIBLE</v>
      </c>
      <c r="G22" s="3" t="str">
        <f t="shared" si="1"/>
        <v>NORMAL</v>
      </c>
      <c r="H22" s="9" t="str">
        <f t="shared" si="2"/>
        <v>ACTIVE &amp; WORKING</v>
      </c>
    </row>
    <row r="23" spans="1:12" ht="15" customHeight="1" x14ac:dyDescent="0.3">
      <c r="A23" s="6" t="s">
 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"2" t="str">
        <f t="shared" si="0"/>
        <v>NOT ELIGIBLE</v>
      </c>
      <c r="G23" s="3" t="str">
        <f t="shared" si="1"/>
        <v>NORMAL</v>
      </c>
      <c r="H23" s="9" t="str">
        <f t="shared" si="2"/>
        <v>ACTIVE &amp; WORKING</v>
      </c>
      <c r="K23" s="5" t="s">
        <v>92</v>
      </c>
      <c r="L23" t="s">
        <v>282</v>
      </c>
    </row>
    <row r="24" spans="1:12" ht="15" customHeight="1" x14ac:dyDescent="0.3">
      <c r="A24" s="8" t="s">
        <v>68</v>
      </c>
      <c r="B24" s="9" t="s">
        <v>69</v>
      </c>
      <c r="C24" s="8">
        <v>64000</v>
      </c>
      <c r="D24" s="8" t="s">
        <v>16</v>
      </c>
      <c r="E24" s="8" t="s">
        <v>19</v>
      </c>
      <c r="F24" s="2" t="str">
        <f t="shared" si="0"/>
        <v>NOT ELIGIBLE</v>
      </c>
      <c r="G24" s="3" t="str">
        <f t="shared" si="1"/>
        <v>HIGH PRIORITY</v>
      </c>
      <c r="H24" s="9" t="str">
        <f t="shared" si="2"/>
        <v>ACTIVE &amp; WORKING</v>
      </c>
      <c r="L24" s="49"/>
    </row>
    <row r="25" spans="1:12" ht="15" customHeight="1" x14ac:dyDescent="0.3">
      <c r="A25" s="6" t="s">
        <v>70</v>
      </c>
      <c r="B25" s="7" t="s">
        <v>71</v>
      </c>
      <c r="C25" s="6">
        <v>79000</v>
      </c>
      <c r="D25" s="6" t="s">
        <v>23</v>
      </c>
      <c r="E25" s="6" t="s">
        <v>19</v>
      </c>
      <c r="F25" s="2" t="str">
        <f t="shared" si="0"/>
        <v>NOT ELIGIBLE</v>
      </c>
      <c r="G25" s="3" t="str">
        <f t="shared" si="1"/>
        <v>NORMAL</v>
      </c>
      <c r="H25" s="9" t="str">
        <f t="shared" si="2"/>
        <v>ACTIVE &amp; WORKING</v>
      </c>
      <c r="L25" s="49" t="s">
        <v>283</v>
      </c>
    </row>
    <row r="26" spans="1:12" ht="15" customHeight="1" x14ac:dyDescent="0.3">
      <c r="A26" s="8" t="s">
        <v>72</v>
      </c>
      <c r="B26" s="9" t="s">
        <v>73</v>
      </c>
      <c r="C26" s="8">
        <v>87000</v>
      </c>
      <c r="D26" s="8" t="s">
        <v>16</v>
      </c>
      <c r="E26" s="8" t="s">
        <v>19</v>
      </c>
      <c r="F26" s="2" t="str">
        <f t="shared" si="0"/>
        <v>ELIGIBLE</v>
      </c>
      <c r="G26" s="3" t="str">
        <f t="shared" si="1"/>
        <v>HIGH PRIORITY</v>
      </c>
      <c r="H26" s="9" t="str">
        <f t="shared" si="2"/>
        <v>ACTIVE &amp; WORKING</v>
      </c>
      <c r="L26" s="49" t="s">
        <v>284</v>
      </c>
    </row>
    <row r="27" spans="1:12" ht="15" customHeight="1" x14ac:dyDescent="0.3">
      <c r="A27" s="6" t="s">
        <v>74</v>
      </c>
      <c r="B27" s="7" t="s">
        <v>75</v>
      </c>
      <c r="C27" s="6">
        <v>61000</v>
      </c>
      <c r="D27" s="6" t="s">
        <v>32</v>
      </c>
      <c r="E27" s="6" t="s">
        <v>39</v>
      </c>
      <c r="F27" s="2" t="str">
        <f t="shared" si="0"/>
        <v>NOT ELIGIBLE</v>
      </c>
      <c r="G27" s="3" t="str">
        <f t="shared" si="1"/>
        <v>NORMAL</v>
      </c>
      <c r="H27" s="9" t="str">
        <f t="shared" si="2"/>
        <v>INACTIVE EMPLOYEE</v>
      </c>
    </row>
    <row r="28" spans="1:12" ht="15" customHeight="1" x14ac:dyDescent="0.3">
      <c r="A28" s="8" t="s">
        <v>76</v>
      </c>
      <c r="B28" s="9" t="s">
        <v>77</v>
      </c>
      <c r="C28" s="8">
        <v>73000</v>
      </c>
      <c r="D28" s="8" t="s">
        <v>23</v>
      </c>
      <c r="E28" s="8" t="s">
        <v>19</v>
      </c>
      <c r="F28" s="2" t="str">
        <f t="shared" si="0"/>
        <v>NOT ELIGIBLE</v>
      </c>
      <c r="G28" s="3" t="str">
        <f t="shared" si="1"/>
        <v>NORMAL</v>
      </c>
      <c r="H28" s="9" t="str">
        <f t="shared" si="2"/>
        <v>ACTIVE &amp; WORKING</v>
      </c>
    </row>
    <row r="30" spans="1:12" ht="27.75" customHeight="1" x14ac:dyDescent="0.3"/>
    <row r="31" spans="1:12" ht="24" customHeight="1" x14ac:dyDescent="0.3"/>
    <row r="32" spans="1:12" ht="24" customHeight="1" x14ac:dyDescent="0.3"/>
    <row r="33" ht="24" customHeight="1" x14ac:dyDescent="0.3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G33"/>
  <sheetViews>
    <sheetView showGridLines="0" zoomScaleNormal="100" workbookViewId="0">
      <pane ySplit="3" topLeftCell="A18" activePane="bottomLeft" state="frozen"/>
      <selection pane="bottomLeft" activeCell="I24" sqref="I24"/>
    </sheetView>
  </sheetViews>
  <sheetFormatPr defaultColWidth="8.6640625" defaultRowHeight="14.4" x14ac:dyDescent="0.3"/>
  <cols>
    <col min="1" max="1" width="8" bestFit="1" customWidth="1"/>
    <col min="2" max="2" width="12.88671875" bestFit="1" customWidth="1"/>
    <col min="3" max="3" width="7.109375" bestFit="1" customWidth="1"/>
    <col min="4" max="4" width="9" bestFit="1" customWidth="1"/>
    <col min="5" max="5" width="20.88671875" bestFit="1" customWidth="1"/>
    <col min="6" max="7" width="18.33203125" bestFit="1" customWidth="1"/>
  </cols>
  <sheetData>
    <row r="1" spans="1:7" ht="36" customHeight="1" x14ac:dyDescent="0.3">
      <c r="A1" s="52" t="s">
        <v>93</v>
      </c>
      <c r="B1" s="52"/>
      <c r="C1" s="52"/>
      <c r="D1" s="52"/>
      <c r="E1" s="52"/>
      <c r="F1" s="52"/>
      <c r="G1" s="52"/>
    </row>
    <row r="2" spans="1:7" ht="30" customHeight="1" x14ac:dyDescent="0.3">
      <c r="A2" s="53" t="s">
        <v>94</v>
      </c>
      <c r="B2" s="53"/>
      <c r="C2" s="53"/>
      <c r="D2" s="53"/>
      <c r="E2" s="53"/>
      <c r="F2" s="53"/>
      <c r="G2" s="53"/>
    </row>
    <row r="3" spans="1:7" ht="21.75" customHeight="1" x14ac:dyDescent="0.3">
      <c r="A3" s="5" t="s">
        <v>1</v>
      </c>
      <c r="B3" s="5" t="s">
        <v>2</v>
      </c>
      <c r="C3" s="5" t="s">
        <v>5</v>
      </c>
      <c r="D3" s="5" t="s">
        <v>95</v>
      </c>
      <c r="E3" s="5" t="s">
        <v>96</v>
      </c>
      <c r="F3" s="5" t="s">
        <v>97</v>
      </c>
      <c r="G3" s="5" t="s">
        <v>98</v>
      </c>
    </row>
    <row r="4" spans="1:7" ht="23.25" customHeight="1" x14ac:dyDescent="0.3">
      <c r="A4" s="8" t="s">
        <v>13</v>
      </c>
      <c r="B4" s="9" t="s">
        <v>14</v>
      </c>
      <c r="C4" s="8">
        <v>62000</v>
      </c>
      <c r="D4" s="8">
        <v>8</v>
      </c>
      <c r="E4" s="13">
        <f>C4/D4</f>
        <v>7750</v>
      </c>
      <c r="F4" s="10">
        <f>IFERROR(C4/D4,"ERROR")</f>
        <v>7750</v>
      </c>
      <c r="G4" s="14"/>
    </row>
    <row r="5" spans="1:7" ht="23.25" customHeight="1" x14ac:dyDescent="0.3">
      <c r="A5" s="6" t="s">
        <v>20</v>
      </c>
      <c r="B5" s="7" t="s">
        <v>21</v>
      </c>
      <c r="C5" s="6">
        <v>75000</v>
      </c>
      <c r="D5" s="6">
        <v>12</v>
      </c>
      <c r="E5" s="13">
        <f t="shared" ref="E5:E28" si="0">C5/D5</f>
        <v>6250</v>
      </c>
      <c r="F5" s="10">
        <f t="shared" ref="F5:F28" si="1">IFERROR(C5/D5,"ERROR")</f>
        <v>6250</v>
      </c>
      <c r="G5" s="14"/>
    </row>
    <row r="6" spans="1:7" ht="23.25" customHeight="1" x14ac:dyDescent="0.3">
      <c r="A6" s="8" t="s">
        <v>26</v>
      </c>
      <c r="B6" s="9" t="s">
        <v>27</v>
      </c>
      <c r="C6" s="8">
        <v>90000</v>
      </c>
      <c r="D6" s="8">
        <v>20</v>
      </c>
      <c r="E6" s="13">
        <f t="shared" si="0"/>
        <v>4500</v>
      </c>
      <c r="F6" s="10">
        <f t="shared" si="1"/>
        <v>4500</v>
      </c>
      <c r="G6" s="14"/>
    </row>
    <row r="7" spans="1:7" ht="23.25" customHeight="1" x14ac:dyDescent="0.3">
      <c r="A7" s="6" t="s">
        <v>30</v>
      </c>
      <c r="B7" s="7" t="s">
        <v>31</v>
      </c>
      <c r="C7" s="6">
        <v>71000</v>
      </c>
      <c r="D7" s="6">
        <v>9</v>
      </c>
      <c r="E7" s="13">
        <f t="shared" si="0"/>
        <v>7888.8888888888887</v>
      </c>
      <c r="F7" s="10">
        <f t="shared" si="1"/>
        <v>7888.8888888888887</v>
      </c>
      <c r="G7" s="14"/>
    </row>
    <row r="8" spans="1:7" ht="23.25" customHeight="1" x14ac:dyDescent="0.3">
      <c r="A8" s="8" t="s">
        <v>34</v>
      </c>
      <c r="B8" s="9" t="s">
        <v>35</v>
      </c>
      <c r="C8" s="8">
        <v>55000</v>
      </c>
      <c r="D8" s="8">
        <v>6</v>
      </c>
      <c r="E8" s="13">
        <f t="shared" si="0"/>
        <v>9166.6666666666661</v>
      </c>
      <c r="F8" s="10">
        <f t="shared" si="1"/>
        <v>9166.6666666666661</v>
      </c>
      <c r="G8" s="14"/>
    </row>
    <row r="9" spans="1:7" ht="23.25" customHeight="1" x14ac:dyDescent="0.3">
      <c r="A9" s="6" t="s">
        <v>37</v>
      </c>
      <c r="B9" s="7" t="s">
        <v>38</v>
      </c>
      <c r="C9" s="6">
        <v>68000</v>
      </c>
      <c r="D9" s="6">
        <v>15</v>
      </c>
      <c r="E9" s="13">
        <f t="shared" si="0"/>
        <v>4533.333333333333</v>
      </c>
      <c r="F9" s="10">
        <f t="shared" si="1"/>
        <v>4533.333333333333</v>
      </c>
      <c r="G9" s="14"/>
    </row>
    <row r="10" spans="1:7" ht="23.25" customHeight="1" x14ac:dyDescent="0.3">
      <c r="A10" s="8" t="s">
        <v>40</v>
      </c>
      <c r="B10" s="9" t="s">
        <v>41</v>
      </c>
      <c r="C10" s="8">
        <v>95000</v>
      </c>
      <c r="D10" s="8">
        <v>22</v>
      </c>
      <c r="E10" s="13">
        <f t="shared" si="0"/>
        <v>4318.181818181818</v>
      </c>
      <c r="F10" s="10">
        <f t="shared" si="1"/>
        <v>4318.181818181818</v>
      </c>
      <c r="G10" s="14"/>
    </row>
    <row r="11" spans="1:7" ht="23.25" customHeight="1" x14ac:dyDescent="0.3">
      <c r="A11" s="6" t="s">
        <v>42</v>
      </c>
      <c r="B11" s="7" t="s">
        <v>43</v>
      </c>
      <c r="C11" s="6">
        <v>58000</v>
      </c>
      <c r="D11" s="6">
        <v>0</v>
      </c>
      <c r="E11" s="13" t="e">
        <f t="shared" si="0"/>
        <v>#DIV/0!</v>
      </c>
      <c r="F11" s="10" t="str">
        <f>IFERROR(C11/D11,"ERROR")</f>
        <v>ERROR</v>
      </c>
      <c r="G11" s="14"/>
    </row>
    <row r="12" spans="1:7" ht="23.25" customHeight="1" x14ac:dyDescent="0.3">
      <c r="A12" s="8" t="s">
        <v>44</v>
      </c>
      <c r="B12" s="9" t="s">
        <v>45</v>
      </c>
      <c r="C12" s="8">
        <v>72000</v>
      </c>
      <c r="D12" s="8">
        <v>18</v>
      </c>
      <c r="E12" s="13">
        <f t="shared" si="0"/>
        <v>4000</v>
      </c>
      <c r="F12" s="10">
        <f t="shared" si="1"/>
        <v>4000</v>
      </c>
      <c r="G12" s="14"/>
    </row>
    <row r="13" spans="1:7" ht="23.25" customHeight="1" x14ac:dyDescent="0.3">
      <c r="A13" s="6" t="s">
        <v>46</v>
      </c>
      <c r="B13" s="7" t="s">
        <v>47</v>
      </c>
      <c r="C13" s="6">
        <v>80000</v>
      </c>
      <c r="D13" s="6">
        <v>10</v>
      </c>
      <c r="E13" s="13">
        <f t="shared" si="0"/>
        <v>8000</v>
      </c>
      <c r="F13" s="10">
        <f t="shared" si="1"/>
        <v>8000</v>
      </c>
      <c r="G13" s="14"/>
    </row>
    <row r="14" spans="1:7" ht="23.25" customHeight="1" x14ac:dyDescent="0.3">
      <c r="A14" s="8" t="s">
        <v>48</v>
      </c>
      <c r="B14" s="9" t="s">
        <v>49</v>
      </c>
      <c r="C14" s="8">
        <v>82000</v>
      </c>
      <c r="D14" s="8">
        <v>14</v>
      </c>
      <c r="E14" s="13">
        <f t="shared" si="0"/>
        <v>5857.1428571428569</v>
      </c>
      <c r="F14" s="10">
        <f t="shared" si="1"/>
        <v>5857.1428571428569</v>
      </c>
      <c r="G14" s="14"/>
    </row>
    <row r="15" spans="1:7" ht="23.25" customHeight="1" x14ac:dyDescent="0.3">
      <c r="A15" s="6" t="s">
        <v>50</v>
      </c>
      <c r="B15" s="7" t="s">
        <v>51</v>
      </c>
      <c r="C15" s="6">
        <v>63000</v>
      </c>
      <c r="D15" s="6">
        <v>11</v>
      </c>
      <c r="E15" s="13">
        <f t="shared" si="0"/>
        <v>5727.272727272727</v>
      </c>
      <c r="F15" s="10">
        <f t="shared" si="1"/>
        <v>5727.272727272727</v>
      </c>
      <c r="G15" s="14"/>
    </row>
    <row r="16" spans="1:7" ht="23.25" customHeight="1" x14ac:dyDescent="0.3">
      <c r="A16" s="8" t="s">
        <v>52</v>
      </c>
      <c r="B16" s="9" t="s">
        <v>53</v>
      </c>
      <c r="C16" s="8">
        <v>60000</v>
      </c>
      <c r="D16" s="8">
        <v>9</v>
      </c>
      <c r="E16" s="13">
        <f t="shared" si="0"/>
        <v>6666.666666666667</v>
      </c>
      <c r="F16" s="10">
        <f t="shared" si="1"/>
        <v>6666.666666666667</v>
      </c>
      <c r="G16" s="14"/>
    </row>
    <row r="17" spans="1:7" ht="23.25" customHeight="1" x14ac:dyDescent="0.3">
      <c r="A17" s="6" t="s">
        <v>54</v>
      </c>
      <c r="B17" s="7" t="s">
        <v>55</v>
      </c>
      <c r="C17" s="6">
        <v>105000</v>
      </c>
      <c r="D17" s="6">
        <v>30</v>
      </c>
      <c r="E17" s="13">
        <f t="shared" si="0"/>
        <v>3500</v>
      </c>
      <c r="F17" s="10">
        <f t="shared" si="1"/>
        <v>3500</v>
      </c>
      <c r="G17" s="14">
        <f>_xlfn.IFNA(VLOOKUP('🛡️ IFERROR &amp; IFNA'!A17,'🛡️ IFERROR &amp; IFNA'!A17:F28,6,FALSE),"N/A")</f>
        <v>3500</v>
      </c>
    </row>
    <row r="18" spans="1:7" ht="23.25" customHeight="1" x14ac:dyDescent="0.3">
      <c r="A18" s="8" t="s">
        <v>56</v>
      </c>
      <c r="B18" s="9" t="s">
        <v>57</v>
      </c>
      <c r="C18" s="8">
        <v>70000</v>
      </c>
      <c r="D18" s="8">
        <v>7</v>
      </c>
      <c r="E18" s="13">
        <f t="shared" si="0"/>
        <v>10000</v>
      </c>
      <c r="F18" s="10">
        <f t="shared" si="1"/>
        <v>10000</v>
      </c>
      <c r="G18" s="14">
        <f>_xlfn.IFNA(VLOOKUP('🛡️ IFERROR &amp; IFNA'!A18,'🛡️ IFERROR &amp; IFNA'!A18:F29,6,FALSE),"N/A")</f>
        <v>10000</v>
      </c>
    </row>
    <row r="19" spans="1:7" ht="23.25" customHeight="1" x14ac:dyDescent="0.3">
      <c r="A19" s="6" t="s">
        <v>58</v>
      </c>
      <c r="B19" s="7" t="s">
        <v>59</v>
      </c>
      <c r="C19" s="6">
        <v>67000</v>
      </c>
      <c r="D19" s="6">
        <v>13</v>
      </c>
      <c r="E19" s="13">
        <f t="shared" si="0"/>
        <v>5153.8461538461543</v>
      </c>
      <c r="F19" s="10">
        <f t="shared" si="1"/>
        <v>5153.8461538461543</v>
      </c>
      <c r="G19" s="14">
        <f>_xlfn.IFNA(VLOOKUP('🛡️ IFERROR &amp; IFNA'!A19,'🛡️ IFERROR &amp; IFNA'!A19:F30,6,FALSE),"N/A")</f>
        <v>5153.8461538461543</v>
      </c>
    </row>
    <row r="20" spans="1:7" ht="23.25" customHeight="1" x14ac:dyDescent="0.3">
      <c r="A20" s="8" t="s">
        <v>60</v>
      </c>
      <c r="B20" s="9" t="s">
        <v>61</v>
      </c>
      <c r="C20" s="8">
        <v>58000</v>
      </c>
      <c r="D20" s="8">
        <v>8</v>
      </c>
      <c r="E20" s="13">
        <f t="shared" si="0"/>
        <v>7250</v>
      </c>
      <c r="F20" s="10">
        <f t="shared" si="1"/>
        <v>7250</v>
      </c>
      <c r="G20" s="14">
        <f>_xlfn.IFNA(VLOOKUP('🛡️ IFERROR &amp; IFNA'!A20,'🛡️ IFERROR &amp; IFNA'!A20:F31,6,FALSE),"N/A")</f>
        <v>7250</v>
      </c>
    </row>
    <row r="21" spans="1:7" ht="23.25" customHeight="1" x14ac:dyDescent="0.3">
      <c r="A21" s="6" t="s">
        <v>62</v>
      </c>
      <c r="B21" s="7" t="s">
        <v>63</v>
      </c>
      <c r="C21" s="6">
        <v>88000</v>
      </c>
      <c r="D21" s="6">
        <v>17</v>
      </c>
      <c r="E21" s="13">
        <f t="shared" si="0"/>
        <v>5176.4705882352937</v>
      </c>
      <c r="F21" s="10">
        <f t="shared" si="1"/>
        <v>5176.4705882352937</v>
      </c>
      <c r="G21" s="14">
        <f>_xlfn.IFNA(VLOOKUP('🛡️ IFERROR &amp; IFNA'!A21,'🛡️ IFERROR &amp; IFNA'!A21:F32,6,FALSE),"N/A")</f>
        <v>5176.4705882352937</v>
      </c>
    </row>
    <row r="22" spans="1:7" ht="23.25" customHeight="1" x14ac:dyDescent="0.3">
      <c r="A22" s="8" t="s">
        <v>64</v>
      </c>
      <c r="B22" s="9" t="s">
        <v>65</v>
      </c>
      <c r="C22" s="8">
        <v>76000</v>
      </c>
      <c r="D22" s="8">
        <v>0</v>
      </c>
      <c r="E22" s="13" t="e">
        <f t="shared" si="0"/>
        <v>#DIV/0!</v>
      </c>
      <c r="F22" s="10" t="str">
        <f>IFERROR(C22/D22,"ERROR")</f>
        <v>ERROR</v>
      </c>
      <c r="G22" s="14" t="str">
        <f>_xlfn.IFNA(VLOOKUP('🛡️ IFERROR &amp; IFNA'!A22,'🛡️ IFERROR &amp; IFNA'!A22:F33,6,FALSE),"ERROR")</f>
        <v>ERROR</v>
      </c>
    </row>
    <row r="23" spans="1:7" ht="23.25" customHeight="1" x14ac:dyDescent="0.3">
      <c r="A23" s="6" t="s">
        <v>66</v>
      </c>
      <c r="B23" s="7" t="s">
        <v>67</v>
      </c>
      <c r="C23" s="6">
        <v>65000</v>
      </c>
      <c r="D23" s="6">
        <v>19</v>
      </c>
      <c r="E23" s="13">
        <f t="shared" si="0"/>
        <v>3421.0526315789475</v>
      </c>
      <c r="F23" s="10">
        <f t="shared" si="1"/>
        <v>3421.0526315789475</v>
      </c>
      <c r="G23" s="14">
        <f>_xlfn.IFNA(VLOOKUP('🛡️ IFERROR &amp; IFNA'!A23,'🛡️ IFERROR &amp; IFNA'!A23:F34,6,FALSE),"N/A")</f>
        <v>3421.0526315789475</v>
      </c>
    </row>
    <row r="24" spans="1:7" ht="23.25" customHeight="1" x14ac:dyDescent="0.3">
      <c r="A24" s="8" t="s">
        <v>68</v>
      </c>
      <c r="B24" s="9" t="s">
        <v>69</v>
      </c>
      <c r="C24" s="8">
        <v>64000</v>
      </c>
      <c r="D24" s="8">
        <v>10</v>
      </c>
      <c r="E24" s="13">
        <f t="shared" si="0"/>
        <v>6400</v>
      </c>
      <c r="F24" s="10">
        <f t="shared" si="1"/>
        <v>6400</v>
      </c>
      <c r="G24" s="14">
        <f>_xlfn.IFNA(VLOOKUP('🛡️ IFERROR &amp; IFNA'!A24,'🛡️ IFERROR &amp; IFNA'!A24:F35,6,FALSE),"N/A")</f>
        <v>6400</v>
      </c>
    </row>
    <row r="25" spans="1:7" ht="23.25" customHeight="1" x14ac:dyDescent="0.3">
      <c r="A25" s="6" t="s">
        <v>70</v>
      </c>
      <c r="B25" s="7" t="s">
        <v>71</v>
      </c>
      <c r="C25" s="6">
        <v>79000</v>
      </c>
      <c r="D25" s="6">
        <v>16</v>
      </c>
      <c r="E25" s="13">
        <f t="shared" si="0"/>
        <v>4937.5</v>
      </c>
      <c r="F25" s="10">
        <f t="shared" si="1"/>
        <v>4937.5</v>
      </c>
      <c r="G25" s="14">
        <f>_xlfn.IFNA(VLOOKUP('🛡️ IFERROR &amp; IFNA'!A25,'🛡️ IFERROR &amp; IFNA'!A25:F36,6,FALSE),"N/A")</f>
        <v>4937.5</v>
      </c>
    </row>
    <row r="26" spans="1:7" ht="23.25" customHeight="1" x14ac:dyDescent="0.3">
      <c r="A26" s="8" t="s">
        <v>72</v>
      </c>
      <c r="B26" s="9" t="s">
        <v>73</v>
      </c>
      <c r="C26" s="8">
        <v>87000</v>
      </c>
      <c r="D26" s="8">
        <v>14</v>
      </c>
      <c r="E26" s="13">
        <f t="shared" si="0"/>
        <v>6214.2857142857147</v>
      </c>
      <c r="F26" s="10">
        <f t="shared" si="1"/>
        <v>6214.2857142857147</v>
      </c>
      <c r="G26" s="14">
        <f>_xlfn.IFNA(VLOOKUP('🛡️ IFERROR &amp; IFNA'!A26,'🛡️ IFERROR &amp; IFNA'!A26:F37,6,FALSE),"N/A")</f>
        <v>6214.2857142857147</v>
      </c>
    </row>
    <row r="27" spans="1:7" ht="23.25" customHeight="1" x14ac:dyDescent="0.3">
      <c r="A27" s="6" t="s">
        <v>74</v>
      </c>
      <c r="B27" s="7" t="s">
        <v>75</v>
      </c>
      <c r="C27" s="6">
        <v>61000</v>
      </c>
      <c r="D27" s="6">
        <v>12</v>
      </c>
      <c r="E27" s="13">
        <f t="shared" si="0"/>
        <v>5083.333333333333</v>
      </c>
      <c r="F27" s="10">
        <f t="shared" si="1"/>
        <v>5083.333333333333</v>
      </c>
      <c r="G27" s="14">
        <f>_xlfn.IFNA(VLOOKUP('🛡️ IFERROR &amp; IFNA'!A27,'🛡️ IFERROR &amp; IFNA'!A27:F38,6,FALSE),"N/A")</f>
        <v>5083.333333333333</v>
      </c>
    </row>
    <row r="28" spans="1:7" ht="23.25" customHeight="1" x14ac:dyDescent="0.3">
      <c r="A28" s="8" t="s">
        <v>76</v>
      </c>
      <c r="B28" s="9" t="s">
        <v>77</v>
      </c>
      <c r="C28" s="8">
        <v>73000</v>
      </c>
      <c r="D28" s="8">
        <v>8</v>
      </c>
      <c r="E28" s="13">
        <f t="shared" si="0"/>
        <v>9125</v>
      </c>
      <c r="F28" s="10">
        <f t="shared" si="1"/>
        <v>9125</v>
      </c>
      <c r="G28" s="14">
        <f>_xlfn.IFNA(VLOOKUP('🛡️ IFERROR &amp; IFNA'!A28,'🛡️ IFERROR &amp; IFNA'!A28:F39,6,FALSE),"N/A")</f>
        <v>9125</v>
      </c>
    </row>
    <row r="30" spans="1:7" ht="27.75" customHeight="1" x14ac:dyDescent="0.3"/>
    <row r="31" spans="1:7" ht="24" customHeight="1" x14ac:dyDescent="0.3"/>
    <row r="32" spans="1:7" ht="24" customHeight="1" x14ac:dyDescent="0.3"/>
    <row r="33" ht="24" customHeight="1" x14ac:dyDescent="0.3"/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J14"/>
  <sheetViews>
    <sheetView showGridLines="0" topLeftCell="C1" zoomScale="108" zoomScaleNormal="100" workbookViewId="0">
      <selection activeCell="J5" sqref="J5"/>
    </sheetView>
  </sheetViews>
  <sheetFormatPr defaultColWidth="8.6640625" defaultRowHeight="14.4" x14ac:dyDescent="0.3"/>
  <cols>
    <col min="1" max="1" width="42.6640625" customWidth="1"/>
    <col min="2" max="2" width="50" customWidth="1"/>
    <col min="3" max="10" width="15" customWidth="1"/>
  </cols>
  <sheetData>
    <row r="1" spans="1:10" ht="36" customHeight="1" x14ac:dyDescent="0.3">
      <c r="A1" s="52" t="s">
        <v>99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3">
      <c r="A2" s="53" t="s">
        <v>100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27.75" customHeight="1" x14ac:dyDescent="0.3">
      <c r="A3" s="54" t="s">
        <v>101</v>
      </c>
      <c r="B3" s="54"/>
      <c r="C3" s="54"/>
      <c r="D3" s="54"/>
      <c r="E3" s="54"/>
      <c r="F3" s="55" t="s">
        <v>102</v>
      </c>
      <c r="G3" s="55"/>
      <c r="H3" s="55"/>
      <c r="I3" s="55"/>
      <c r="J3" s="55"/>
    </row>
    <row r="4" spans="1:10" ht="15" customHeight="1" x14ac:dyDescent="0.3">
      <c r="A4" s="5" t="s">
        <v>3</v>
      </c>
      <c r="B4" s="5" t="s">
        <v>285</v>
      </c>
      <c r="C4" s="5" t="s">
        <v>104</v>
      </c>
      <c r="D4" s="5" t="s">
        <v>105</v>
      </c>
      <c r="E4" s="5" t="s">
        <v>106</v>
      </c>
      <c r="F4" s="15" t="s">
        <v>7</v>
      </c>
      <c r="G4" s="15" t="s">
        <v>103</v>
      </c>
      <c r="H4" s="15" t="s">
        <v>104</v>
      </c>
      <c r="I4" s="15" t="s">
        <v>105</v>
      </c>
      <c r="J4" s="15" t="s">
        <v>107</v>
      </c>
    </row>
    <row r="5" spans="1:10" ht="15" customHeight="1" x14ac:dyDescent="0.3">
      <c r="A5" s="16" t="s">
        <v>15</v>
      </c>
      <c r="B5" s="10">
        <f>COUNTIF('📋 Employee Dataset'!C2:C27,"HR")</f>
        <v>5</v>
      </c>
      <c r="C5" s="10">
        <f>SUMIFS(Salary,Department,"HR")</f>
        <v>324000</v>
      </c>
      <c r="D5" s="10">
        <f>AVERAGE(C5/B5)</f>
        <v>64800</v>
      </c>
      <c r="E5" s="10">
        <f>AVERAGEIF('📋 Employee Dataset'!C8:C27,"HR",'📋 Employee Dataset'!K8:K27)</f>
        <v>12.25</v>
      </c>
      <c r="F5" s="16" t="s">
        <v>16</v>
      </c>
      <c r="G5" s="14">
        <f>COUNTIF('📋 Employee Dataset'!G8:G27,"EXCELLENT")</f>
        <v>7</v>
      </c>
      <c r="H5" s="14">
        <f>SUMIF('📋 Employee Dataset'!G8:G27,"EXCELLENT",'📋 Employee Dataset'!E8:E27)</f>
        <v>581000</v>
      </c>
      <c r="I5" s="14">
        <f>AVERAGE(H5/G5)</f>
        <v>83000</v>
      </c>
      <c r="J5" s="14">
        <f>AVERAGEIF('📋 Employee Dataset'!G8:G27,"EXCELLENT",'📋 Employee Dataset'!F8:F27)</f>
        <v>12.428571428571429</v>
      </c>
    </row>
    <row r="6" spans="1:10" ht="15" customHeight="1" x14ac:dyDescent="0.3">
      <c r="A6" s="17" t="s">
        <v>22</v>
      </c>
      <c r="B6" s="10">
        <f>COUNTIF('📋 Employee Dataset'!C3:C28,"HR")</f>
        <v>5</v>
      </c>
      <c r="C6" s="10">
        <f>SUMIFS(Salary,Department,"IT")</f>
        <v>596000</v>
      </c>
      <c r="D6" s="10">
        <f t="shared" ref="D6:D8" si="0">AVERAGE(C6/B6)</f>
        <v>119200</v>
      </c>
      <c r="E6" s="10">
        <f>AVERAGEIF('📋 Employee Dataset'!C9:C28,"HR",'📋 Employee Dataset'!K9:K28)</f>
        <v>11.333333333333334</v>
      </c>
      <c r="F6" s="17" t="s">
        <v>23</v>
      </c>
      <c r="G6" s="14">
        <f>COUNTIF('📋 Employee Dataset'!G8:G27,"GOOD")</f>
        <v>7</v>
      </c>
      <c r="H6" s="14">
        <f>SUMIF('📋 Employee Dataset'!G8:G27,"GOOD",'📋 Employee Dataset'!E8:E27)</f>
        <v>495000</v>
      </c>
      <c r="I6" s="14">
        <f t="shared" ref="I6:I8" si="1">AVERAGE(H6/G6)</f>
        <v>70714.28571428571</v>
      </c>
      <c r="J6" s="14">
        <f>AVERAGEIF('📋 Employee Dataset'!G9:G28,"GOOD",'📋 Employee Dataset'!F9:F28)</f>
        <v>8</v>
      </c>
    </row>
    <row r="7" spans="1:10" ht="15" customHeight="1" x14ac:dyDescent="0.3">
      <c r="A7" s="16" t="s">
        <v>28</v>
      </c>
      <c r="B7" s="10">
        <f>COUNTIF('📋 Employee Dataset'!C4:C29,"HR")</f>
        <v>4</v>
      </c>
      <c r="C7" s="10">
        <f>SUMIFS(Salary,Department,"Finance")</f>
        <v>533000</v>
      </c>
      <c r="D7" s="10">
        <f t="shared" si="0"/>
        <v>133250</v>
      </c>
      <c r="E7" s="10">
        <f>AVERAGEIF('📋 Employee Dataset'!C10:C29,"HR",'📋 Employee Dataset'!K10:K29)</f>
        <v>11.333333333333334</v>
      </c>
      <c r="F7" s="16" t="s">
        <v>32</v>
      </c>
      <c r="G7" s="14">
        <f>COUNTIF('📋 Employee Dataset'!G9:G28,"GOOD")</f>
        <v>7</v>
      </c>
      <c r="H7" s="14">
        <f>SUMIF('📋 Employee Dataset'!G8:G27,"AVERAGE",'📋 Employee Dataset'!E8:E27)</f>
        <v>395000</v>
      </c>
      <c r="I7" s="14">
        <f t="shared" si="1"/>
        <v>56428.571428571428</v>
      </c>
      <c r="J7" s="14">
        <f>AVERAGEIF('📋 Employee Dataset'!G10:G29,"AVERAGE",'📋 Employee Dataset'!F10:F29)</f>
        <v>14.6</v>
      </c>
    </row>
    <row r="8" spans="1:10" ht="15" customHeight="1" x14ac:dyDescent="0.3">
      <c r="A8" s="17" t="s">
        <v>36</v>
      </c>
      <c r="B8" s="10">
        <f>COUNTIF('📋 Employee Dataset'!C5:C30,"HR")</f>
        <v>4</v>
      </c>
      <c r="C8" s="10">
        <f>SUMIFS(Salary,Department,"Marketing")</f>
        <v>371000</v>
      </c>
      <c r="D8" s="10">
        <f t="shared" si="0"/>
        <v>92750</v>
      </c>
      <c r="E8" s="10">
        <f>AVERAGEIF('📋 Employee Dataset'!C11:C30,"HR",'📋 Employee Dataset'!K11:K30)</f>
        <v>11.333333333333334</v>
      </c>
      <c r="G8" s="14"/>
      <c r="I8" s="14"/>
      <c r="J8" s="14"/>
    </row>
    <row r="10" spans="1:10" ht="27.75" customHeight="1" x14ac:dyDescent="0.3">
      <c r="A10" s="56" t="s">
        <v>108</v>
      </c>
      <c r="B10" s="56"/>
      <c r="C10" s="56"/>
      <c r="D10" s="56"/>
      <c r="E10" s="56"/>
      <c r="F10" s="56"/>
      <c r="G10" s="56"/>
      <c r="H10" s="56"/>
      <c r="I10" s="56"/>
      <c r="J10" s="56"/>
    </row>
    <row r="11" spans="1:10" ht="15" customHeight="1" x14ac:dyDescent="0.3">
      <c r="A11" s="5" t="s">
        <v>109</v>
      </c>
      <c r="B11" s="51" t="s">
        <v>110</v>
      </c>
      <c r="C11" s="51"/>
      <c r="D11" s="51"/>
      <c r="E11" s="51"/>
    </row>
    <row r="12" spans="1:10" ht="27.75" customHeight="1" x14ac:dyDescent="0.3">
      <c r="A12" s="9" t="s">
        <v>111</v>
      </c>
      <c r="B12" s="50">
        <f>COUNTIF('📋 Employee Dataset'!B3:B27,"A*")</f>
        <v>1</v>
      </c>
      <c r="C12" s="50"/>
      <c r="D12" s="50"/>
      <c r="E12" s="50"/>
    </row>
    <row r="13" spans="1:10" ht="27.75" customHeight="1" x14ac:dyDescent="0.3">
      <c r="A13" s="7" t="s">
        <v>112</v>
      </c>
      <c r="B13" s="50">
        <f>COUNTIF(Salary,"&gt;80000")</f>
        <v>6</v>
      </c>
      <c r="C13" s="50"/>
      <c r="D13" s="50"/>
      <c r="E13" s="50"/>
    </row>
    <row r="14" spans="1:10" ht="27.75" customHeight="1" x14ac:dyDescent="0.3">
      <c r="A14" s="9" t="s">
        <v>113</v>
      </c>
      <c r="B14" s="50">
        <f>SUMIFS('📋 Employee Dataset'!E3:E27,Salary,"&gt;=60000",Salary,"&lt;=80000")</f>
        <v>1106000</v>
      </c>
      <c r="C14" s="50"/>
      <c r="D14" s="50"/>
      <c r="E14" s="50"/>
    </row>
  </sheetData>
  <mergeCells count="9">
    <mergeCell ref="B14:E14"/>
    <mergeCell ref="B11:E11"/>
    <mergeCell ref="B12:E12"/>
    <mergeCell ref="B13:E13"/>
    <mergeCell ref="A1:J1"/>
    <mergeCell ref="A2:J2"/>
    <mergeCell ref="A3:E3"/>
    <mergeCell ref="F3:J3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980B9"/>
  </sheetPr>
  <dimension ref="A1:G19"/>
  <sheetViews>
    <sheetView showGridLines="0" zoomScaleNormal="100" workbookViewId="0">
      <selection activeCell="G11" sqref="G11"/>
    </sheetView>
  </sheetViews>
  <sheetFormatPr defaultColWidth="8.6640625" defaultRowHeight="14.4" x14ac:dyDescent="0.3"/>
  <cols>
    <col min="1" max="2" width="45" customWidth="1"/>
    <col min="3" max="7" width="16" customWidth="1"/>
  </cols>
  <sheetData>
    <row r="1" spans="1:7" ht="36" customHeight="1" x14ac:dyDescent="0.3">
      <c r="A1" s="52" t="s">
        <v>114</v>
      </c>
      <c r="B1" s="52"/>
      <c r="C1" s="52"/>
      <c r="D1" s="52"/>
      <c r="E1" s="52"/>
      <c r="F1" s="52"/>
      <c r="G1" s="52"/>
    </row>
    <row r="2" spans="1:7" ht="30" customHeight="1" thickBot="1" x14ac:dyDescent="0.35">
      <c r="A2" s="53" t="s">
        <v>115</v>
      </c>
      <c r="B2" s="53"/>
      <c r="C2" s="53"/>
      <c r="D2" s="53"/>
      <c r="E2" s="53"/>
      <c r="F2" s="53"/>
      <c r="G2" s="53"/>
    </row>
    <row r="3" spans="1:7" ht="27.75" customHeight="1" thickBot="1" x14ac:dyDescent="0.35">
      <c r="A3" s="54" t="s">
        <v>116</v>
      </c>
      <c r="B3" s="54"/>
      <c r="C3" s="54"/>
      <c r="D3" s="54"/>
      <c r="E3" s="54"/>
      <c r="F3" s="54"/>
      <c r="G3" s="54"/>
    </row>
    <row r="4" spans="1:7" ht="15" customHeight="1" x14ac:dyDescent="0.3">
      <c r="A4" s="5" t="s">
        <v>117</v>
      </c>
      <c r="B4" s="5" t="s">
        <v>7</v>
      </c>
      <c r="C4" s="5" t="s">
        <v>8</v>
      </c>
      <c r="D4" s="5" t="s">
        <v>118</v>
      </c>
      <c r="E4" s="5" t="s">
        <v>119</v>
      </c>
      <c r="F4" s="5" t="s">
        <v>120</v>
      </c>
      <c r="G4" s="5" t="s">
        <v>121</v>
      </c>
    </row>
    <row r="5" spans="1:7" ht="19.5" customHeight="1" x14ac:dyDescent="0.3">
      <c r="A5" s="6" t="s">
        <v>22</v>
      </c>
      <c r="B5" s="6" t="s">
        <v>16</v>
      </c>
      <c r="C5" s="6" t="s">
        <v>17</v>
      </c>
      <c r="D5" s="6" t="s">
        <v>19</v>
      </c>
      <c r="E5" s="10">
        <f>COUNTIFS('📋 Employee Dataset'!C8:C27,"IT",'📋 Employee Dataset'!G8:G27,"EXCELLENT",'📋 Employee Dataset'!H8:H27,"NORTH",'📋 Employee Dataset'!L8:L27,"YES")</f>
        <v>0</v>
      </c>
      <c r="F5" s="11">
        <f>SUMIFS('📋 Employee Dataset'!E8:E27,'📋 Employee Dataset'!C8:C27,A5,'📋 Employee Dataset'!G8:G27,B5,'📋 Employee Dataset'!H8:H27,C5,'📋 Employee Dataset'!L8:L27,D5)</f>
        <v>0</v>
      </c>
      <c r="G5" s="14" t="str">
        <f>IFERROR(AVERAGEIFS('📋 Employee Dataset'!F3:F28,'📋 Employee Dataset'!C3:C28,'🔀 COUNTIFS, SUMIFS, AVGIFS'!A5,'📋 Employee Dataset'!G3:G28,'🔀 COUNTIFS, SUMIFS, AVGIFS'!B5,'📋 Employee Dataset'!H3:H28,'🔀 COUNTIFS, SUMIFS, AVGIFS'!C5,'📋 Employee Dataset'!L3:L28,'🔀 COUNTIFS, SUMIFS, AVGIFS'!D5),"N/A")</f>
        <v>N/A</v>
      </c>
    </row>
    <row r="6" spans="1:7" ht="19.5" customHeight="1" x14ac:dyDescent="0.3">
      <c r="A6" s="8" t="s">
        <v>28</v>
      </c>
      <c r="B6" s="8" t="s">
        <v>16</v>
      </c>
      <c r="C6" s="8" t="s">
        <v>29</v>
      </c>
      <c r="D6" s="8" t="s">
        <v>19</v>
      </c>
      <c r="E6" s="10">
        <f>COUNTIFS('📋 Employee Dataset'!C9:C28,"FInance",'📋 Employee Dataset'!G9:G28,"EXCELLENT",'📋 Employee Dataset'!H9:H28,"EAST",'📋 Employee Dataset'!L9:L28,"YES")</f>
        <v>2</v>
      </c>
      <c r="F6" s="11">
        <f>SUMIFS('📋 Employee Dataset'!E9:E28,'📋 Employee Dataset'!C9:C28,A6,'📋 Employee Dataset'!G9:G28,B6,'📋 Employee Dataset'!H9:H28,C6,'📋 Employee Dataset'!L9:L28,D6)</f>
        <v>182000</v>
      </c>
      <c r="G6" s="14">
        <f>IFERROR(AVERAGEIFS('📋 Employee Dataset'!F4:F29,'📋 Employee Dataset'!C4:C29,'🔀 COUNTIFS, SUMIFS, AVGIFS'!A6,'📋 Employee Dataset'!G4:G29,'🔀 COUNTIFS, SUMIFS, AVGIFS'!B6,'📋 Employee Dataset'!H4:H29,'🔀 COUNTIFS, SUMIFS, AVGIFS'!C6,'📋 Employee Dataset'!L4:L29,'🔀 COUNTIFS, SUMIFS, AVGIFS'!D6),"N/A")</f>
        <v>13.333333333333334</v>
      </c>
    </row>
    <row r="7" spans="1:7" ht="19.5" customHeight="1" x14ac:dyDescent="0.3">
      <c r="A7" s="6" t="s">
        <v>15</v>
      </c>
      <c r="B7" s="6" t="s">
        <v>23</v>
      </c>
      <c r="C7" s="6" t="s">
        <v>24</v>
      </c>
      <c r="D7" s="6" t="s">
        <v>19</v>
      </c>
      <c r="E7" s="10">
        <f>COUNTIFS('📋 Employee Dataset'!C10:C29,"HR",'📋 Employee Dataset'!G10:G29,"GOOD",'📋 Employee Dataset'!H10:H29,"SOUTH",'📋 Employee Dataset'!L10:L29,"YES")</f>
        <v>0</v>
      </c>
      <c r="F7" s="11">
        <f>SUMIFS('📋 Employee Dataset'!E10:E29,'📋 Employee Dataset'!C10:C29,A7,'📋 Employee Dataset'!G10:G29,B7,'📋 Employee Dataset'!H10:H29,C7,'📋 Employee Dataset'!L10:L29,D7)</f>
        <v>0</v>
      </c>
      <c r="G7" s="14" t="str">
        <f>IFERROR(AVERAGEIFS('📋 Employee Dataset'!F5:F30,'📋 Employee Dataset'!C5:C30,'🔀 COUNTIFS, SUMIFS, AVGIFS'!A7,'📋 Employee Dataset'!G5:G30,'🔀 COUNTIFS, SUMIFS, AVGIFS'!B7,'📋 Employee Dataset'!H5:H30,'🔀 COUNTIFS, SUMIFS, AVGIFS'!C7,'📋 Employee Dataset'!L5:L30,'🔀 COUNTIFS, SUMIFS, AVGIFS'!D7),"N/A")</f>
        <v>N/A</v>
      </c>
    </row>
    <row r="8" spans="1:7" ht="19.5" customHeight="1" x14ac:dyDescent="0.3">
      <c r="A8" s="8" t="s">
        <v>36</v>
      </c>
      <c r="B8" s="8" t="s">
        <v>32</v>
      </c>
      <c r="C8" s="8" t="s">
        <v>33</v>
      </c>
      <c r="D8" s="8" t="s">
        <v>19</v>
      </c>
      <c r="E8" s="10">
        <f>COUNTIFS('📋 Employee Dataset'!C11:C30,"MARKETING",'📋 Employee Dataset'!G11:G30,"AVERAGE",'📋 Employee Dataset'!H11:H30,"WEST",'📋 Employee Dataset'!L11:L30,"YES")</f>
        <v>1</v>
      </c>
      <c r="F8" s="11">
        <f>SUMIFS('📋 Employee Dataset'!E11:E30,'📋 Employee Dataset'!C11:C30,A8,'📋 Employee Dataset'!G11:G30,B8,'📋 Employee Dataset'!H11:H30,C8,'📋 Employee Dataset'!L11:L30,D8)</f>
        <v>65000</v>
      </c>
      <c r="G8" s="14">
        <f>IFERROR(AVERAGEIFS('📋 Employee Dataset'!F6:F31,'📋 Employee Dataset'!C6:C31,'🔀 COUNTIFS, SUMIFS, AVGIFS'!A8,'📋 Employee Dataset'!G6:G31,'🔀 COUNTIFS, SUMIFS, AVGIFS'!B8,'📋 Employee Dataset'!H6:H31,'🔀 COUNTIFS, SUMIFS, AVGIFS'!C8,'📋 Employee Dataset'!L6:L31,'🔀 COUNTIFS, SUMIFS, AVGIFS'!D8),"N/A")</f>
        <v>24</v>
      </c>
    </row>
    <row r="9" spans="1:7" ht="19.5" customHeight="1" x14ac:dyDescent="0.3"/>
    <row r="10" spans="1:7" ht="19.5" customHeight="1" x14ac:dyDescent="0.3"/>
    <row r="11" spans="1:7" ht="19.5" customHeight="1" x14ac:dyDescent="0.3"/>
    <row r="12" spans="1:7" ht="19.5" customHeight="1" x14ac:dyDescent="0.3"/>
    <row r="14" spans="1:7" ht="27.75" customHeight="1" x14ac:dyDescent="0.3"/>
    <row r="15" spans="1:7" ht="15" customHeight="1" x14ac:dyDescent="0.3"/>
    <row r="16" spans="1:7" ht="21.75" customHeight="1" x14ac:dyDescent="0.3"/>
    <row r="17" ht="21.75" customHeight="1" x14ac:dyDescent="0.3"/>
    <row r="18" ht="21.75" customHeight="1" x14ac:dyDescent="0.3"/>
    <row r="19" ht="21.75" customHeight="1" x14ac:dyDescent="0.3"/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C0D"/>
  </sheetPr>
  <dimension ref="A1:L47"/>
  <sheetViews>
    <sheetView showGridLines="0" zoomScaleNormal="100" workbookViewId="0">
      <pane ySplit="3" topLeftCell="A4" activePane="bottomLeft" state="frozen"/>
      <selection pane="bottomLeft" activeCell="H4" sqref="H4:H28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4" width="12" customWidth="1"/>
    <col min="5" max="5" width="16" customWidth="1"/>
    <col min="6" max="6" width="22" customWidth="1"/>
    <col min="7" max="7" width="23.5546875" customWidth="1"/>
    <col min="8" max="8" width="22" customWidth="1"/>
    <col min="10" max="10" width="1.44140625" customWidth="1"/>
    <col min="11" max="11" width="23.88671875" customWidth="1"/>
  </cols>
  <sheetData>
    <row r="1" spans="1:12" ht="36" customHeight="1" x14ac:dyDescent="0.3">
      <c r="A1" s="52" t="s">
        <v>122</v>
      </c>
      <c r="B1" s="52"/>
      <c r="C1" s="52"/>
      <c r="D1" s="52"/>
      <c r="E1" s="52"/>
      <c r="F1" s="52"/>
      <c r="G1" s="52"/>
      <c r="H1" s="52"/>
    </row>
    <row r="2" spans="1:12" ht="30" customHeight="1" x14ac:dyDescent="0.3">
      <c r="A2" s="53" t="s">
        <v>123</v>
      </c>
      <c r="B2" s="53"/>
      <c r="C2" s="53"/>
      <c r="D2" s="53"/>
      <c r="E2" s="53"/>
      <c r="F2" s="53"/>
      <c r="G2" s="53"/>
      <c r="H2" s="53"/>
    </row>
    <row r="3" spans="1:12" ht="21.75" customHeight="1" x14ac:dyDescent="0.3">
      <c r="A3" s="5" t="s">
        <v>1</v>
      </c>
      <c r="B3" s="5" t="s">
        <v>2</v>
      </c>
      <c r="C3" s="5" t="s">
        <v>3</v>
      </c>
      <c r="D3" s="5" t="s">
        <v>124</v>
      </c>
      <c r="E3" s="5" t="s">
        <v>8</v>
      </c>
      <c r="F3" s="5" t="s">
        <v>125</v>
      </c>
      <c r="G3" s="5" t="s">
        <v>126</v>
      </c>
      <c r="H3" s="5" t="s">
        <v>127</v>
      </c>
    </row>
    <row r="4" spans="1:12" ht="15" customHeight="1" x14ac:dyDescent="0.3">
      <c r="A4" s="8" t="s">
        <v>13</v>
      </c>
      <c r="B4" s="9" t="s">
        <v>14</v>
      </c>
      <c r="C4" s="8" t="s">
        <v>15</v>
      </c>
      <c r="D4" s="8">
        <v>1</v>
      </c>
      <c r="E4" s="8" t="s">
        <v>17</v>
      </c>
      <c r="F4" s="10" t="str" cm="1">
        <f t="array" ref="F4">_xlfn.SWITCH(C4,"HR","HUM","IT","TECH","Finance","FIN","Marketing","MKT","UNK")</f>
        <v>HUM</v>
      </c>
      <c r="G4" s="11" t="str">
        <f>CHOOSE(D4,"Excellent","Good","Average")</f>
        <v>Excellent</v>
      </c>
      <c r="H4" s="8" t="str" cm="1">
        <f t="array" ref="H4">_xlfn.SWITCH(E4,"NORTH","N","South","S","East","E","West","W")</f>
        <v>N</v>
      </c>
    </row>
    <row r="5" spans="1:12" ht="15" customHeight="1" x14ac:dyDescent="0.3">
      <c r="A5" s="6" t="s">
        <v>20</v>
      </c>
      <c r="B5" s="7" t="s">
        <v>21</v>
      </c>
      <c r="C5" s="6" t="s">
        <v>22</v>
      </c>
      <c r="D5" s="6">
        <v>2</v>
      </c>
      <c r="E5" s="6" t="s">
        <v>24</v>
      </c>
      <c r="F5" s="10" t="str" cm="1">
        <f t="array" ref="F5">_xlfn.SWITCH(C5,"HR","HUM","IT","TECH","Finance","FIN","Marketing","MKT","UNK")</f>
        <v>TECH</v>
      </c>
      <c r="G5" s="11" t="str">
        <f t="shared" ref="G5:G28" si="0">CHOOSE(D5,"Excellent","Good","Average")</f>
        <v>Good</v>
      </c>
      <c r="H5" s="8" t="str" cm="1">
        <f t="array" ref="H5">_xlfn.SWITCH(E5,"NORTH","N","South","S","East","E","West","W")</f>
        <v>S</v>
      </c>
    </row>
    <row r="6" spans="1:12" ht="15" customHeight="1" x14ac:dyDescent="0.3">
      <c r="A6" s="8" t="s">
        <v>26</v>
      </c>
      <c r="B6" s="9" t="s">
        <v>27</v>
      </c>
      <c r="C6" s="8" t="s">
        <v>28</v>
      </c>
      <c r="D6" s="8">
        <v>1</v>
      </c>
      <c r="E6" s="8" t="s">
        <v>29</v>
      </c>
      <c r="F6" s="10" t="str" cm="1">
        <f t="array" ref="F6">_xlfn.SWITCH(C6,"HR","HUM","IT","TECH","Finance","FIN","Marketing","MKT","UNK")</f>
        <v>FIN</v>
      </c>
      <c r="G6" s="11" t="str">
        <f t="shared" si="0"/>
        <v>Excellent</v>
      </c>
      <c r="H6" s="8" t="str" cm="1">
        <f t="array" ref="H6">_xlfn.SWITCH(E6,"NORTH","N","South","S","East","E","West","W")</f>
        <v>E</v>
      </c>
      <c r="K6" s="5" t="s">
        <v>125</v>
      </c>
      <c r="L6" t="s">
        <v>286</v>
      </c>
    </row>
    <row r="7" spans="1:12" ht="15" customHeight="1" x14ac:dyDescent="0.3">
      <c r="A7" s="6" t="s">
        <v>30</v>
      </c>
      <c r="B7" s="7" t="s">
        <v>31</v>
      </c>
      <c r="C7" s="6" t="s">
        <v>22</v>
      </c>
      <c r="D7" s="6">
        <v>3</v>
      </c>
      <c r="E7" s="6" t="s">
        <v>33</v>
      </c>
      <c r="F7" s="10" t="str" cm="1">
        <f t="array" ref="F7">_xlfn.SWITCH(C7,"HR","HUM","IT","TECH","Finance","FIN","Marketing","MKT","UNK")</f>
        <v>TECH</v>
      </c>
      <c r="G7" s="11" t="str">
        <f t="shared" si="0"/>
        <v>Average</v>
      </c>
      <c r="H7" s="8" t="str" cm="1">
        <f t="array" ref="H7">_xlfn.SWITCH(E7,"NORTH","N","South","S","East","E","West","W")</f>
        <v>W</v>
      </c>
      <c r="L7" s="49"/>
    </row>
    <row r="8" spans="1:12" ht="15" customHeight="1" x14ac:dyDescent="0.3">
      <c r="A8" s="8" t="s">
        <v>34</v>
      </c>
      <c r="B8" s="9" t="s">
        <v>35</v>
      </c>
      <c r="C8" s="8" t="s">
        <v>36</v>
      </c>
      <c r="D8" s="8">
        <v>2</v>
      </c>
      <c r="E8" s="8" t="s">
        <v>17</v>
      </c>
      <c r="F8" s="10" t="str" cm="1">
        <f t="array" ref="F8">_xlfn.SWITCH(C8,"HR","HUM","IT","TECH","Finance","FIN","Marketing","MKT","UNK")</f>
        <v>MKT</v>
      </c>
      <c r="G8" s="11" t="str">
        <f t="shared" si="0"/>
        <v>Good</v>
      </c>
      <c r="H8" s="8" t="str" cm="1">
        <f t="array" ref="H8">_xlfn.SWITCH(E8,"NORTH","N","South","S","East","E","West","W")</f>
        <v>N</v>
      </c>
      <c r="L8" s="49" t="s">
        <v>287</v>
      </c>
    </row>
    <row r="9" spans="1:12" ht="15" customHeight="1" x14ac:dyDescent="0.3">
      <c r="A9" s="6" t="s">
        <v>37</v>
      </c>
      <c r="B9" s="7" t="s">
        <v>38</v>
      </c>
      <c r="C9" s="6" t="s">
        <v>15</v>
      </c>
      <c r="D9" s="6">
        <v>3</v>
      </c>
      <c r="E9" s="6" t="s">
        <v>24</v>
      </c>
      <c r="F9" s="10" t="str" cm="1">
        <f t="array" ref="F9">_xlfn.SWITCH(C9,"HR","HUM","IT","TECH","Finance","FIN","Marketing","MKT","UNK")</f>
        <v>HUM</v>
      </c>
      <c r="G9" s="11" t="str">
        <f t="shared" si="0"/>
        <v>Average</v>
      </c>
      <c r="H9" s="8" t="str" cm="1">
        <f t="array" ref="H9">_xlfn.SWITCH(E9,"NORTH","N","South","S","East","E","West","W")</f>
        <v>S</v>
      </c>
      <c r="L9" s="49" t="s">
        <v>288</v>
      </c>
    </row>
    <row r="10" spans="1:12" ht="15" customHeight="1" x14ac:dyDescent="0.3">
      <c r="A10" s="8" t="s">
        <v>40</v>
      </c>
      <c r="B10" s="9" t="s">
        <v>41</v>
      </c>
      <c r="C10" s="8" t="s">
        <v>28</v>
      </c>
      <c r="D10" s="8">
        <v>1</v>
      </c>
      <c r="E10" s="8" t="s">
        <v>29</v>
      </c>
      <c r="F10" s="10" t="str" cm="1">
        <f t="array" ref="F10">_xlfn.SWITCH(C10,"HR","HUM","IT","TECH","Finance","FIN","Marketing","MKT","UNK")</f>
        <v>FIN</v>
      </c>
      <c r="G10" s="11" t="str">
        <f t="shared" si="0"/>
        <v>Excellent</v>
      </c>
      <c r="H10" s="8" t="str" cm="1">
        <f t="array" ref="H10">_xlfn.SWITCH(E10,"NORTH","N","South","S","East","E","West","W")</f>
        <v>E</v>
      </c>
      <c r="L10" s="49" t="s">
        <v>289</v>
      </c>
    </row>
    <row r="11" spans="1:12" ht="15" customHeight="1" x14ac:dyDescent="0.3">
      <c r="A11" s="6" t="s">
        <v>42</v>
      </c>
      <c r="B11" s="7" t="s">
        <v>43</v>
      </c>
      <c r="C11" s="6" t="s">
        <v>22</v>
      </c>
      <c r="D11" s="6">
        <v>2</v>
      </c>
      <c r="E11" s="6" t="s">
        <v>33</v>
      </c>
      <c r="F11" s="10" t="str" cm="1">
        <f t="array" ref="F11">_xlfn.SWITCH(C11,"HR","HUM","IT","TECH","Finance","FIN","Marketing","MKT","UNK")</f>
        <v>TECH</v>
      </c>
      <c r="G11" s="11" t="str">
        <f t="shared" si="0"/>
        <v>Good</v>
      </c>
      <c r="H11" s="8" t="str" cm="1">
        <f t="array" ref="H11">_xlfn.SWITCH(E11,"NORTH","N","South","S","East","E","West","W")</f>
        <v>W</v>
      </c>
      <c r="L11" s="49" t="s">
        <v>290</v>
      </c>
    </row>
    <row r="12" spans="1:12" ht="15" customHeight="1" x14ac:dyDescent="0.3">
      <c r="A12" s="8" t="s">
        <v>44</v>
      </c>
      <c r="B12" s="9" t="s">
        <v>45</v>
      </c>
      <c r="C12" s="8" t="s">
        <v>36</v>
      </c>
      <c r="D12" s="8">
        <v>1</v>
      </c>
      <c r="E12" s="8" t="s">
        <v>17</v>
      </c>
      <c r="F12" s="10" t="str" cm="1">
        <f t="array" ref="F12">_xlfn.SWITCH(C12,"HR","HUM","IT","TECH","Finance","FIN","Marketing","MKT","UNK")</f>
        <v>MKT</v>
      </c>
      <c r="G12" s="11" t="str">
        <f t="shared" si="0"/>
        <v>Excellent</v>
      </c>
      <c r="H12" s="8" t="str" cm="1">
        <f t="array" ref="H12">_xlfn.SWITCH(E12,"NORTH","N","South","S","East","E","West","W")</f>
        <v>N</v>
      </c>
      <c r="L12" s="49" t="s">
        <v>291</v>
      </c>
    </row>
    <row r="13" spans="1:12" ht="15" customHeight="1" x14ac:dyDescent="0.3">
      <c r="A13" s="6" t="s">
        <v>46</v>
      </c>
      <c r="B13" s="7" t="s">
        <v>47</v>
      </c>
      <c r="C13" s="6" t="s">
        <v>28</v>
      </c>
      <c r="D13" s="6">
        <v>3</v>
      </c>
      <c r="E13" s="6" t="s">
        <v>24</v>
      </c>
      <c r="F13" s="10" t="str" cm="1">
        <f t="array" ref="F13">_xlfn.SWITCH(C13,"HR","HUM","IT","TECH","Finance","FIN","Marketing","MKT","UNK")</f>
        <v>FIN</v>
      </c>
      <c r="G13" s="11" t="str">
        <f t="shared" si="0"/>
        <v>Average</v>
      </c>
      <c r="H13" s="8" t="str" cm="1">
        <f t="array" ref="H13">_xlfn.SWITCH(E13,"NORTH","N","South","S","East","E","West","W")</f>
        <v>S</v>
      </c>
      <c r="L13" s="49"/>
    </row>
    <row r="14" spans="1:12" ht="15" customHeight="1" x14ac:dyDescent="0.3">
      <c r="A14" s="8" t="s">
        <v>48</v>
      </c>
      <c r="B14" s="9" t="s">
        <v>49</v>
      </c>
      <c r="C14" s="8" t="s">
        <v>22</v>
      </c>
      <c r="D14" s="8">
        <v>2</v>
      </c>
      <c r="E14" s="8" t="s">
        <v>29</v>
      </c>
      <c r="F14" s="10" t="str" cm="1">
        <f t="array" ref="F14">_xlfn.SWITCH(C14,"HR","HUM","IT","TECH","Finance","FIN","Marketing","MKT","UNK")</f>
        <v>TECH</v>
      </c>
      <c r="G14" s="11" t="str">
        <f t="shared" si="0"/>
        <v>Good</v>
      </c>
      <c r="H14" s="8" t="str" cm="1">
        <f t="array" ref="H14">_xlfn.SWITCH(E14,"NORTH","N","South","S","East","E","West","W")</f>
        <v>E</v>
      </c>
      <c r="K14" s="5" t="s">
        <v>126</v>
      </c>
      <c r="L14" t="s">
        <v>292</v>
      </c>
    </row>
    <row r="15" spans="1:12" ht="15" customHeight="1" x14ac:dyDescent="0.3">
      <c r="A15" s="6" t="s">
        <v>50</v>
      </c>
      <c r="B15" s="7" t="s">
        <v>51</v>
      </c>
      <c r="C15" s="6" t="s">
        <v>15</v>
      </c>
      <c r="D15" s="6">
        <v>3</v>
      </c>
      <c r="E15" s="6" t="s">
        <v>33</v>
      </c>
      <c r="F15" s="10" t="str" cm="1">
        <f t="array" ref="F15">_xlfn.SWITCH(C15,"HR","HUM","IT","TECH","Finance","FIN","Marketing","MKT","UNK")</f>
        <v>HUM</v>
      </c>
      <c r="G15" s="11" t="str">
        <f t="shared" si="0"/>
        <v>Average</v>
      </c>
      <c r="H15" s="8" t="str" cm="1">
        <f t="array" ref="H15">_xlfn.SWITCH(E15,"NORTH","N","South","S","East","E","West","W")</f>
        <v>W</v>
      </c>
    </row>
    <row r="16" spans="1:12" ht="15" customHeight="1" x14ac:dyDescent="0.3">
      <c r="A16" s="8" t="s">
        <v>52</v>
      </c>
      <c r="B16" s="9" t="s">
        <v>53</v>
      </c>
      <c r="C16" s="8" t="s">
        <v>36</v>
      </c>
      <c r="D16" s="8">
        <v>2</v>
      </c>
      <c r="E16" s="8" t="s">
        <v>17</v>
      </c>
      <c r="F16" s="10" t="str" cm="1">
        <f t="array" ref="F16">_xlfn.SWITCH(C16,"HR","HUM","IT","TECH","Finance","FIN","Marketing","MKT","UNK")</f>
        <v>MKT</v>
      </c>
      <c r="G16" s="11" t="str">
        <f t="shared" si="0"/>
        <v>Good</v>
      </c>
      <c r="H16" s="8" t="str" cm="1">
        <f t="array" ref="H16">_xlfn.SWITCH(E16,"NORTH","N","South","S","East","E","West","W")</f>
        <v>N</v>
      </c>
      <c r="L16" t="s">
        <v>293</v>
      </c>
    </row>
    <row r="17" spans="1:12" ht="15" customHeight="1" x14ac:dyDescent="0.3">
      <c r="A17" s="6" t="s">
        <v>54</v>
      </c>
      <c r="B17" s="7" t="s">
        <v>55</v>
      </c>
      <c r="C17" s="6" t="s">
        <v>28</v>
      </c>
      <c r="D17" s="6">
        <v>1</v>
      </c>
      <c r="E17" s="6" t="s">
        <v>24</v>
      </c>
      <c r="F17" s="10" t="str" cm="1">
        <f t="array" ref="F17">_xlfn.SWITCH(C17,"HR","HUM","IT","TECH","Finance","FIN","Marketing","MKT","UNK")</f>
        <v>FIN</v>
      </c>
      <c r="G17" s="11" t="str">
        <f t="shared" si="0"/>
        <v>Excellent</v>
      </c>
      <c r="H17" s="8" t="str" cm="1">
        <f t="array" ref="H17">_xlfn.SWITCH(E17,"NORTH","N","South","S","East","E","West","W")</f>
        <v>S</v>
      </c>
      <c r="L17" t="s">
        <v>294</v>
      </c>
    </row>
    <row r="18" spans="1:12" ht="15" customHeight="1" x14ac:dyDescent="0.3">
      <c r="A18" s="8" t="s">
        <v>56</v>
      </c>
      <c r="B18" s="9" t="s">
        <v>57</v>
      </c>
      <c r="C18" s="8" t="s">
        <v>22</v>
      </c>
      <c r="D18" s="8">
        <v>1</v>
      </c>
      <c r="E18" s="8" t="s">
        <v>29</v>
      </c>
      <c r="F18" s="10" t="str" cm="1">
        <f t="array" ref="F18">_xlfn.SWITCH(C18,"HR","HUM","IT","TECH","Finance","FIN","Marketing","MKT","UNK")</f>
        <v>TECH</v>
      </c>
      <c r="G18" s="11" t="str">
        <f t="shared" si="0"/>
        <v>Excellent</v>
      </c>
      <c r="H18" s="8" t="str" cm="1">
        <f t="array" ref="H18">_xlfn.SWITCH(E18,"NORTH","N","South","S","East","E","West","W")</f>
        <v>E</v>
      </c>
      <c r="L18" t="s">
        <v>295</v>
      </c>
    </row>
    <row r="19" spans="1:12" ht="15" customHeight="1" x14ac:dyDescent="0.3">
      <c r="A19" s="6" t="s">
        <v>58</v>
      </c>
      <c r="B19" s="7" t="s">
        <v>59</v>
      </c>
      <c r="C19" s="6" t="s">
        <v>15</v>
      </c>
      <c r="D19" s="6">
        <v>2</v>
      </c>
      <c r="E19" s="6" t="s">
        <v>33</v>
      </c>
      <c r="F19" s="10" t="str" cm="1">
        <f t="array" ref="F19">_xlfn.SWITCH(C19,"HR","HUM","IT","TECH","Finance","FIN","Marketing","MKT","UNK")</f>
        <v>HUM</v>
      </c>
      <c r="G19" s="11" t="str">
        <f t="shared" si="0"/>
        <v>Good</v>
      </c>
      <c r="H19" s="8" t="str" cm="1">
        <f t="array" ref="H19">_xlfn.SWITCH(E19,"NORTH","N","South","S","East","E","West","W")</f>
        <v>W</v>
      </c>
    </row>
    <row r="20" spans="1:12" ht="15" customHeight="1" x14ac:dyDescent="0.3">
      <c r="A20" s="8" t="s">
        <v>60</v>
      </c>
      <c r="B20" s="9" t="s">
        <v>61</v>
      </c>
      <c r="C20" s="8" t="s">
        <v>36</v>
      </c>
      <c r="D20" s="8">
        <v>3</v>
      </c>
      <c r="E20" s="8" t="s">
        <v>17</v>
      </c>
      <c r="F20" s="10" t="str" cm="1">
        <f t="array" ref="F20">_xlfn.SWITCH(C20,"HR","HUM","IT","TECH","Finance","FIN","Marketing","MKT","UNK")</f>
        <v>MKT</v>
      </c>
      <c r="G20" s="11" t="str">
        <f t="shared" si="0"/>
        <v>Average</v>
      </c>
      <c r="H20" s="8" t="str" cm="1">
        <f t="array" ref="H20">_xlfn.SWITCH(E20,"NORTH","N","South","S","East","E","West","W")</f>
        <v>N</v>
      </c>
    </row>
    <row r="21" spans="1:12" ht="15" customHeight="1" x14ac:dyDescent="0.3">
      <c r="A21" s="6" t="s">
        <v>62</v>
      </c>
      <c r="B21" s="7" t="s">
        <v>63</v>
      </c>
      <c r="C21" s="6" t="s">
        <v>22</v>
      </c>
      <c r="D21" s="6">
        <v>1</v>
      </c>
      <c r="E21" s="6" t="s">
        <v>24</v>
      </c>
      <c r="F21" s="10" t="str" cm="1">
        <f t="array" ref="F21">_xlfn.SWITCH(C21,"HR","HUM","IT","TECH","Finance","FIN","Marketing","MKT","UNK")</f>
        <v>TECH</v>
      </c>
      <c r="G21" s="11" t="str">
        <f t="shared" si="0"/>
        <v>Excellent</v>
      </c>
      <c r="H21" s="8" t="str" cm="1">
        <f t="array" ref="H21">_xlfn.SWITCH(E21,"NORTH","N","South","S","East","E","West","W")</f>
        <v>S</v>
      </c>
      <c r="K21" s="5" t="s">
        <v>127</v>
      </c>
      <c r="L21" t="s">
        <v>296</v>
      </c>
    </row>
    <row r="22" spans="1:12" ht="15" customHeight="1" x14ac:dyDescent="0.3">
      <c r="A22" s="8" t="s">
        <v>64</v>
      </c>
      <c r="B22" s="9" t="s">
        <v>65</v>
      </c>
      <c r="C22" s="8" t="s">
        <v>28</v>
      </c>
      <c r="D22" s="8">
        <v>2</v>
      </c>
      <c r="E22" s="8" t="s">
        <v>29</v>
      </c>
      <c r="F22" s="10" t="str" cm="1">
        <f t="array" ref="F22">_xlfn.SWITCH(C22,"HR","HUM","IT","TECH","Finance","FIN","Marketing","MKT","UNK")</f>
        <v>FIN</v>
      </c>
      <c r="G22" s="11" t="str">
        <f t="shared" si="0"/>
        <v>Good</v>
      </c>
      <c r="H22" s="8" t="str" cm="1">
        <f t="array" ref="H22">_xlfn.SWITCH(E22,"NORTH","N","South","S","East","E","West","W")</f>
        <v>E</v>
      </c>
      <c r="L22" s="49"/>
    </row>
    <row r="23" spans="1:12" ht="15" customHeight="1" x14ac:dyDescent="0.3">
      <c r="A23" s="6" t="s">
        <v>66</v>
      </c>
      <c r="B23" s="7" t="s">
        <v>67</v>
      </c>
      <c r="C23" s="6" t="s">
        <v>36</v>
      </c>
      <c r="D23" s="6">
        <v>3</v>
      </c>
      <c r="E23" s="6" t="s">
        <v>33</v>
      </c>
      <c r="F23" s="10" t="str" cm="1">
        <f t="array" ref="F23">_xlfn.SWITCH(C23,"HR","HUM","IT","TECH","Finance","FIN","Marketing","MKT","UNK")</f>
        <v>MKT</v>
      </c>
      <c r="G23" s="11" t="str">
        <f t="shared" si="0"/>
        <v>Average</v>
      </c>
      <c r="H23" s="8" t="str" cm="1">
        <f t="array" ref="H23">_xlfn.SWITCH(E23,"NORTH","N","South","S","East","E","West","W")</f>
        <v>W</v>
      </c>
      <c r="L23" s="49" t="s">
        <v>297</v>
      </c>
    </row>
    <row r="24" spans="1:12" ht="15" customHeight="1" x14ac:dyDescent="0.3">
      <c r="A24" s="8" t="s">
        <v>68</v>
      </c>
      <c r="B24" s="9" t="s">
        <v>69</v>
      </c>
      <c r="C24" s="8" t="s">
        <v>15</v>
      </c>
      <c r="D24" s="8">
        <v>1</v>
      </c>
      <c r="E24" s="8" t="s">
        <v>17</v>
      </c>
      <c r="F24" s="10" t="str" cm="1">
        <f t="array" ref="F24">_xlfn.SWITCH(C24,"HR","HUM","IT","TECH","Finance","FIN","Marketing","MKT","UNK")</f>
        <v>HUM</v>
      </c>
      <c r="G24" s="11" t="str">
        <f t="shared" si="0"/>
        <v>Excellent</v>
      </c>
      <c r="H24" s="8" t="str" cm="1">
        <f t="array" ref="H24">_xlfn.SWITCH(E24,"NORTH","N","South","S","East","E","West","W")</f>
        <v>N</v>
      </c>
      <c r="L24" s="49" t="s">
        <v>298</v>
      </c>
    </row>
    <row r="25" spans="1:12" ht="15" customHeight="1" x14ac:dyDescent="0.3">
      <c r="A25" s="6" t="s">
        <v>70</v>
      </c>
      <c r="B25" s="7" t="s">
        <v>71</v>
      </c>
      <c r="C25" s="6" t="s">
        <v>22</v>
      </c>
      <c r="D25" s="6">
        <v>2</v>
      </c>
      <c r="E25" s="6" t="s">
        <v>24</v>
      </c>
      <c r="F25" s="10" t="str" cm="1">
        <f t="array" ref="F25">_xlfn.SWITCH(C25,"HR","HUM","IT","TECH","Finance","FIN","Marketing","MKT","UNK")</f>
        <v>TECH</v>
      </c>
      <c r="G25" s="11" t="str">
        <f t="shared" si="0"/>
        <v>Good</v>
      </c>
      <c r="H25" s="8" t="str" cm="1">
        <f t="array" ref="H25">_xlfn.SWITCH(E25,"NORTH","N","South","S","East","E","West","W")</f>
        <v>S</v>
      </c>
      <c r="L25" s="49" t="s">
        <v>299</v>
      </c>
    </row>
    <row r="26" spans="1:12" ht="15" customHeight="1" x14ac:dyDescent="0.3">
      <c r="A26" s="8" t="s">
        <v>72</v>
      </c>
      <c r="B26" s="9" t="s">
        <v>73</v>
      </c>
      <c r="C26" s="8" t="s">
        <v>28</v>
      </c>
      <c r="D26" s="8">
        <v>1</v>
      </c>
      <c r="E26" s="8" t="s">
        <v>29</v>
      </c>
      <c r="F26" s="10" t="str" cm="1">
        <f t="array" ref="F26">_xlfn.SWITCH(C26,"HR","HUM","IT","TECH","Finance","FIN","Marketing","MKT","UNK")</f>
        <v>FIN</v>
      </c>
      <c r="G26" s="11" t="str">
        <f t="shared" si="0"/>
        <v>Excellent</v>
      </c>
      <c r="H26" s="8" t="str" cm="1">
        <f t="array" ref="H26">_xlfn.SWITCH(E26,"NORTH","N","South","S","East","E","West","W")</f>
        <v>E</v>
      </c>
      <c r="L26" s="49" t="s">
        <v>300</v>
      </c>
    </row>
    <row r="27" spans="1:12" ht="15" customHeight="1" x14ac:dyDescent="0.3">
      <c r="A27" s="6" t="s">
        <v>74</v>
      </c>
      <c r="B27" s="7" t="s">
        <v>75</v>
      </c>
      <c r="C27" s="6" t="s">
        <v>36</v>
      </c>
      <c r="D27" s="6">
        <v>3</v>
      </c>
      <c r="E27" s="6" t="s">
        <v>33</v>
      </c>
      <c r="F27" s="10" t="str" cm="1">
        <f t="array" ref="F27">_xlfn.SWITCH(C27,"HR","HUM","IT","TECH","Finance","FIN","Marketing","MKT","UNK")</f>
        <v>MKT</v>
      </c>
      <c r="G27" s="11" t="str">
        <f t="shared" si="0"/>
        <v>Average</v>
      </c>
      <c r="H27" s="8" t="str" cm="1">
        <f t="array" ref="H27">_xlfn.SWITCH(E27,"NORTH","N","South","S","East","E","West","W")</f>
        <v>W</v>
      </c>
      <c r="L27" s="49" t="s">
        <v>301</v>
      </c>
    </row>
    <row r="28" spans="1:12" ht="15" customHeight="1" x14ac:dyDescent="0.3">
      <c r="A28" s="8" t="s">
        <v>76</v>
      </c>
      <c r="B28" s="9" t="s">
        <v>77</v>
      </c>
      <c r="C28" s="8" t="s">
        <v>22</v>
      </c>
      <c r="D28" s="8">
        <v>2</v>
      </c>
      <c r="E28" s="8" t="s">
        <v>17</v>
      </c>
      <c r="F28" s="10" t="str" cm="1">
        <f t="array" ref="F28">_xlfn.SWITCH(C28,"HR","HUM","IT","TECH","Finance","FIN","Marketing","MKT","UNK")</f>
        <v>TECH</v>
      </c>
      <c r="G28" s="11" t="str">
        <f t="shared" si="0"/>
        <v>Good</v>
      </c>
      <c r="H28" s="8" t="str" cm="1">
        <f t="array" ref="H28">_xlfn.SWITCH(E28,"NORTH","N","South","S","East","E","West","W")</f>
        <v>N</v>
      </c>
    </row>
    <row r="30" spans="1:12" ht="27.75" customHeight="1" x14ac:dyDescent="0.3"/>
    <row r="31" spans="1:12" ht="24" customHeight="1" x14ac:dyDescent="0.3"/>
    <row r="32" spans="1:12" ht="24" customHeight="1" x14ac:dyDescent="0.3"/>
    <row r="45" spans="12:12" x14ac:dyDescent="0.3">
      <c r="L45" s="49"/>
    </row>
    <row r="47" spans="12:12" x14ac:dyDescent="0.3">
      <c r="L47" s="49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17A65"/>
  </sheetPr>
  <dimension ref="A1:D32"/>
  <sheetViews>
    <sheetView showGridLines="0" tabSelected="1" topLeftCell="A19" zoomScaleNormal="100" workbookViewId="0">
      <selection activeCell="C24" sqref="C24"/>
    </sheetView>
  </sheetViews>
  <sheetFormatPr defaultColWidth="8.6640625" defaultRowHeight="14.4" x14ac:dyDescent="0.3"/>
  <cols>
    <col min="1" max="1" width="5" customWidth="1"/>
    <col min="2" max="2" width="50" customWidth="1"/>
    <col min="3" max="3" width="40" customWidth="1"/>
    <col min="4" max="4" width="20" customWidth="1"/>
  </cols>
  <sheetData>
    <row r="1" spans="1:4" ht="36" customHeight="1" x14ac:dyDescent="0.3">
      <c r="A1" s="52" t="s">
        <v>128</v>
      </c>
      <c r="B1" s="52"/>
      <c r="C1" s="52"/>
      <c r="D1" s="52"/>
    </row>
    <row r="2" spans="1:4" ht="30" customHeight="1" x14ac:dyDescent="0.3">
      <c r="A2" s="53" t="s">
        <v>129</v>
      </c>
      <c r="B2" s="53"/>
      <c r="C2" s="53"/>
      <c r="D2" s="53"/>
    </row>
    <row r="4" spans="1:4" ht="24" customHeight="1" x14ac:dyDescent="0.3">
      <c r="A4" s="19" t="s">
        <v>130</v>
      </c>
      <c r="B4" s="19"/>
      <c r="C4" s="19"/>
      <c r="D4" s="19"/>
    </row>
    <row r="5" spans="1:4" ht="42" customHeight="1" x14ac:dyDescent="0.3">
      <c r="A5" s="20" t="s">
        <v>131</v>
      </c>
      <c r="B5" s="21" t="s">
        <v>132</v>
      </c>
      <c r="C5" s="58" t="s">
        <v>306</v>
      </c>
      <c r="D5" s="20" t="s">
        <v>134</v>
      </c>
    </row>
    <row r="6" spans="1:4" ht="42" customHeight="1" x14ac:dyDescent="0.3">
      <c r="A6" s="20" t="s">
        <v>135</v>
      </c>
      <c r="B6" s="21" t="s">
        <v>136</v>
      </c>
      <c r="C6" s="58" t="s">
        <v>307</v>
      </c>
      <c r="D6" s="20" t="s">
        <v>134</v>
      </c>
    </row>
    <row r="7" spans="1:4" ht="24" customHeight="1" x14ac:dyDescent="0.3">
      <c r="A7" s="19" t="s">
        <v>137</v>
      </c>
      <c r="B7" s="19"/>
      <c r="C7" s="19"/>
      <c r="D7" s="19"/>
    </row>
    <row r="8" spans="1:4" ht="42" customHeight="1" x14ac:dyDescent="0.3">
      <c r="A8" s="23" t="s">
        <v>138</v>
      </c>
      <c r="B8" s="21" t="s">
        <v>139</v>
      </c>
      <c r="C8" s="58" t="s">
        <v>308</v>
      </c>
      <c r="D8" s="23" t="s">
        <v>140</v>
      </c>
    </row>
    <row r="9" spans="1:4" ht="24" customHeight="1" x14ac:dyDescent="0.3">
      <c r="A9" s="19" t="s">
        <v>141</v>
      </c>
      <c r="B9" s="19"/>
      <c r="C9" s="19"/>
      <c r="D9" s="19"/>
    </row>
    <row r="10" spans="1:4" ht="42" customHeight="1" x14ac:dyDescent="0.3">
      <c r="A10" s="23" t="s">
        <v>142</v>
      </c>
      <c r="B10" s="21" t="s">
        <v>143</v>
      </c>
      <c r="C10" s="22"/>
      <c r="D10" s="23" t="s">
        <v>140</v>
      </c>
    </row>
    <row r="11" spans="1:4" ht="24" customHeight="1" x14ac:dyDescent="0.3">
      <c r="A11" s="19" t="s">
        <v>144</v>
      </c>
      <c r="B11" s="19"/>
      <c r="C11" s="19"/>
      <c r="D11" s="19"/>
    </row>
    <row r="12" spans="1:4" ht="42" customHeight="1" x14ac:dyDescent="0.3">
      <c r="A12" s="23" t="s">
        <v>145</v>
      </c>
      <c r="B12" s="21" t="s">
        <v>146</v>
      </c>
      <c r="C12" s="58" t="s">
        <v>309</v>
      </c>
      <c r="D12" s="23" t="s">
        <v>140</v>
      </c>
    </row>
    <row r="13" spans="1:4" ht="24" customHeight="1" x14ac:dyDescent="0.3">
      <c r="A13" s="19" t="s">
        <v>147</v>
      </c>
      <c r="B13" s="19"/>
      <c r="C13" s="19"/>
      <c r="D13" s="19"/>
    </row>
    <row r="14" spans="1:4" ht="42" customHeight="1" x14ac:dyDescent="0.3">
      <c r="A14" s="23" t="s">
        <v>148</v>
      </c>
      <c r="B14" s="21" t="s">
        <v>149</v>
      </c>
      <c r="C14" s="22" t="s">
        <v>133</v>
      </c>
      <c r="D14" s="23" t="s">
        <v>140</v>
      </c>
    </row>
    <row r="15" spans="1:4" ht="24" customHeight="1" x14ac:dyDescent="0.3">
      <c r="A15" s="19" t="s">
        <v>150</v>
      </c>
      <c r="B15" s="19"/>
      <c r="C15" s="19"/>
      <c r="D15" s="19"/>
    </row>
    <row r="16" spans="1:4" ht="42" customHeight="1" x14ac:dyDescent="0.3">
      <c r="A16" s="23" t="s">
        <v>151</v>
      </c>
      <c r="B16" s="21" t="s">
        <v>152</v>
      </c>
      <c r="C16" s="58" t="s">
        <v>310</v>
      </c>
      <c r="D16" s="23" t="s">
        <v>140</v>
      </c>
    </row>
    <row r="17" spans="1:4" ht="24" customHeight="1" x14ac:dyDescent="0.3">
      <c r="A17" s="19" t="s">
        <v>153</v>
      </c>
      <c r="B17" s="19"/>
      <c r="C17" s="19"/>
      <c r="D17" s="19"/>
    </row>
    <row r="18" spans="1:4" ht="42" customHeight="1" x14ac:dyDescent="0.3">
      <c r="A18" s="20" t="s">
        <v>154</v>
      </c>
      <c r="B18" s="21" t="s">
        <v>155</v>
      </c>
      <c r="C18" s="58" t="s">
        <v>311</v>
      </c>
      <c r="D18" s="20" t="s">
        <v>134</v>
      </c>
    </row>
    <row r="19" spans="1:4" ht="24" customHeight="1" x14ac:dyDescent="0.3">
      <c r="A19" s="19" t="s">
        <v>156</v>
      </c>
      <c r="B19" s="19"/>
      <c r="C19" s="19"/>
      <c r="D19" s="19"/>
    </row>
    <row r="20" spans="1:4" ht="42" customHeight="1" x14ac:dyDescent="0.3">
      <c r="A20" s="20" t="s">
        <v>157</v>
      </c>
      <c r="B20" s="21" t="s">
        <v>158</v>
      </c>
      <c r="C20" s="58" t="s">
        <v>312</v>
      </c>
      <c r="D20" s="20" t="s">
        <v>134</v>
      </c>
    </row>
    <row r="21" spans="1:4" ht="24" customHeight="1" x14ac:dyDescent="0.3">
      <c r="A21" s="19" t="s">
        <v>159</v>
      </c>
      <c r="B21" s="19"/>
      <c r="C21" s="19"/>
      <c r="D21" s="19"/>
    </row>
    <row r="22" spans="1:4" ht="42" customHeight="1" x14ac:dyDescent="0.3">
      <c r="A22" s="23" t="s">
        <v>160</v>
      </c>
      <c r="B22" s="21" t="s">
        <v>161</v>
      </c>
      <c r="C22" s="58" t="s">
        <v>313</v>
      </c>
      <c r="D22" s="23" t="s">
        <v>140</v>
      </c>
    </row>
    <row r="23" spans="1:4" ht="24" customHeight="1" x14ac:dyDescent="0.3">
      <c r="A23" s="19" t="s">
        <v>162</v>
      </c>
      <c r="B23" s="19"/>
      <c r="C23" s="19"/>
      <c r="D23" s="19"/>
    </row>
    <row r="24" spans="1:4" ht="42" customHeight="1" x14ac:dyDescent="0.3">
      <c r="A24" s="24" t="s">
        <v>163</v>
      </c>
      <c r="B24" s="21" t="s">
        <v>164</v>
      </c>
      <c r="C24" s="22"/>
      <c r="D24" s="24" t="s">
        <v>165</v>
      </c>
    </row>
    <row r="25" spans="1:4" ht="24" customHeight="1" x14ac:dyDescent="0.3">
      <c r="A25" s="19" t="s">
        <v>166</v>
      </c>
      <c r="B25" s="19"/>
      <c r="C25" s="19"/>
      <c r="D25" s="19"/>
    </row>
    <row r="26" spans="1:4" ht="42" customHeight="1" x14ac:dyDescent="0.3">
      <c r="A26" s="24" t="s">
        <v>167</v>
      </c>
      <c r="B26" s="21" t="s">
        <v>168</v>
      </c>
      <c r="C26" s="22" t="s">
        <v>133</v>
      </c>
      <c r="D26" s="24" t="s">
        <v>165</v>
      </c>
    </row>
    <row r="27" spans="1:4" ht="24" customHeight="1" x14ac:dyDescent="0.3">
      <c r="A27" s="19" t="s">
        <v>169</v>
      </c>
      <c r="B27" s="19"/>
      <c r="C27" s="19"/>
      <c r="D27" s="19"/>
    </row>
    <row r="28" spans="1:4" ht="42" customHeight="1" x14ac:dyDescent="0.3">
      <c r="A28" s="23" t="s">
        <v>170</v>
      </c>
      <c r="B28" s="21" t="s">
        <v>171</v>
      </c>
      <c r="C28" s="22" t="s">
        <v>133</v>
      </c>
      <c r="D28" s="23" t="s">
        <v>140</v>
      </c>
    </row>
    <row r="29" spans="1:4" ht="24" customHeight="1" x14ac:dyDescent="0.3">
      <c r="A29" s="19" t="s">
        <v>172</v>
      </c>
      <c r="B29" s="19"/>
      <c r="C29" s="19"/>
      <c r="D29" s="19"/>
    </row>
    <row r="30" spans="1:4" ht="42" customHeight="1" x14ac:dyDescent="0.3">
      <c r="A30" s="23" t="s">
        <v>173</v>
      </c>
      <c r="B30" s="21" t="s">
        <v>174</v>
      </c>
      <c r="C30" s="22" t="s">
        <v>133</v>
      </c>
      <c r="D30" s="23" t="s">
        <v>140</v>
      </c>
    </row>
    <row r="31" spans="1:4" ht="24" customHeight="1" x14ac:dyDescent="0.3">
      <c r="A31" s="19" t="s">
        <v>175</v>
      </c>
      <c r="B31" s="19"/>
      <c r="C31" s="19"/>
      <c r="D31" s="19"/>
    </row>
    <row r="32" spans="1:4" ht="42" customHeight="1" x14ac:dyDescent="0.3">
      <c r="A32" s="24" t="s">
        <v>176</v>
      </c>
      <c r="B32" s="21" t="s">
        <v>177</v>
      </c>
      <c r="C32" s="22" t="s">
        <v>133</v>
      </c>
      <c r="D32" s="24" t="s">
        <v>165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F18"/>
  <sheetViews>
    <sheetView showGridLines="0" zoomScaleNormal="100" workbookViewId="0">
      <selection activeCell="F9" sqref="F9"/>
    </sheetView>
  </sheetViews>
  <sheetFormatPr defaultColWidth="8.6640625" defaultRowHeight="14.4" x14ac:dyDescent="0.3"/>
  <cols>
    <col min="1" max="1" width="18" customWidth="1"/>
    <col min="2" max="2" width="35" customWidth="1"/>
    <col min="3" max="3" width="30" customWidth="1"/>
    <col min="4" max="4" width="18" customWidth="1"/>
    <col min="5" max="5" width="20" customWidth="1"/>
    <col min="6" max="6" width="44.44140625" customWidth="1"/>
  </cols>
  <sheetData>
    <row r="1" spans="1:6" ht="39.75" customHeight="1" x14ac:dyDescent="0.3">
      <c r="A1" s="57" t="s">
        <v>178</v>
      </c>
      <c r="B1" s="57"/>
      <c r="C1" s="57"/>
      <c r="D1" s="57"/>
      <c r="E1" s="57"/>
      <c r="F1" s="57"/>
    </row>
    <row r="2" spans="1:6" ht="21.75" customHeight="1" x14ac:dyDescent="0.3">
      <c r="A2" s="5" t="s">
        <v>179</v>
      </c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</row>
    <row r="3" spans="1:6" ht="21.75" customHeight="1" x14ac:dyDescent="0.3">
      <c r="A3" s="25" t="s">
        <v>185</v>
      </c>
      <c r="B3" s="26" t="s">
        <v>186</v>
      </c>
      <c r="C3" s="27" t="s">
        <v>187</v>
      </c>
      <c r="D3" s="11" t="s">
        <v>188</v>
      </c>
      <c r="E3" s="11" t="s">
        <v>189</v>
      </c>
      <c r="F3" s="28" t="s">
        <v>190</v>
      </c>
    </row>
    <row r="4" spans="1:6" ht="21.75" customHeight="1" x14ac:dyDescent="0.3">
      <c r="A4" s="29" t="s">
        <v>191</v>
      </c>
      <c r="B4" s="30" t="s">
        <v>192</v>
      </c>
      <c r="C4" s="2" t="s">
        <v>193</v>
      </c>
      <c r="D4" s="10" t="s">
        <v>188</v>
      </c>
      <c r="E4" s="10" t="s">
        <v>194</v>
      </c>
      <c r="F4" s="31" t="s">
        <v>195</v>
      </c>
    </row>
    <row r="5" spans="1:6" ht="21.75" customHeight="1" x14ac:dyDescent="0.3">
      <c r="A5" s="29" t="s">
        <v>196</v>
      </c>
      <c r="B5" s="30" t="s">
        <v>197</v>
      </c>
      <c r="C5" s="2" t="s">
        <v>198</v>
      </c>
      <c r="D5" s="10" t="s">
        <v>199</v>
      </c>
      <c r="E5" s="10" t="s">
        <v>189</v>
      </c>
      <c r="F5" s="31" t="s">
        <v>200</v>
      </c>
    </row>
    <row r="6" spans="1:6" ht="21.75" customHeight="1" x14ac:dyDescent="0.3">
      <c r="A6" s="32" t="s">
        <v>201</v>
      </c>
      <c r="B6" s="33" t="s">
        <v>202</v>
      </c>
      <c r="C6" s="3" t="s">
        <v>203</v>
      </c>
      <c r="D6" s="14" t="s">
        <v>199</v>
      </c>
      <c r="E6" s="14" t="s">
        <v>189</v>
      </c>
      <c r="F6" s="34" t="s">
        <v>204</v>
      </c>
    </row>
    <row r="7" spans="1:6" ht="21.75" customHeight="1" x14ac:dyDescent="0.3">
      <c r="A7" s="32" t="s">
        <v>205</v>
      </c>
      <c r="B7" s="33" t="s">
        <v>206</v>
      </c>
      <c r="C7" s="3" t="s">
        <v>207</v>
      </c>
      <c r="D7" s="14" t="s">
        <v>199</v>
      </c>
      <c r="E7" s="14" t="s">
        <v>189</v>
      </c>
      <c r="F7" s="34" t="s">
        <v>208</v>
      </c>
    </row>
    <row r="8" spans="1:6" ht="21.75" customHeight="1" x14ac:dyDescent="0.3">
      <c r="A8" s="35" t="s">
        <v>209</v>
      </c>
      <c r="B8" s="36" t="s">
        <v>210</v>
      </c>
      <c r="C8" s="1" t="s">
        <v>211</v>
      </c>
      <c r="D8" s="13" t="s">
        <v>188</v>
      </c>
      <c r="E8" s="13" t="s">
        <v>212</v>
      </c>
      <c r="F8" s="37" t="s">
        <v>213</v>
      </c>
    </row>
    <row r="9" spans="1:6" ht="21.75" customHeight="1" x14ac:dyDescent="0.3">
      <c r="A9" s="35" t="s">
        <v>214</v>
      </c>
      <c r="B9" s="36" t="s">
        <v>215</v>
      </c>
      <c r="C9" s="1" t="s">
        <v>216</v>
      </c>
      <c r="D9" s="13" t="s">
        <v>188</v>
      </c>
      <c r="E9" s="13" t="s">
        <v>217</v>
      </c>
      <c r="F9" s="37" t="s">
        <v>218</v>
      </c>
    </row>
    <row r="10" spans="1:6" ht="21.75" customHeight="1" x14ac:dyDescent="0.3">
      <c r="A10" s="38" t="s">
        <v>219</v>
      </c>
      <c r="B10" s="18" t="s">
        <v>220</v>
      </c>
      <c r="C10" s="4" t="s">
        <v>221</v>
      </c>
      <c r="D10" s="39" t="s">
        <v>222</v>
      </c>
      <c r="E10" s="39" t="s">
        <v>189</v>
      </c>
      <c r="F10" s="40" t="s">
        <v>223</v>
      </c>
    </row>
    <row r="11" spans="1:6" ht="21.75" customHeight="1" x14ac:dyDescent="0.3">
      <c r="A11" s="38" t="s">
        <v>119</v>
      </c>
      <c r="B11" s="18" t="s">
        <v>224</v>
      </c>
      <c r="C11" s="4" t="s">
        <v>225</v>
      </c>
      <c r="D11" s="39" t="s">
        <v>222</v>
      </c>
      <c r="E11" s="39" t="s">
        <v>212</v>
      </c>
      <c r="F11" s="40" t="s">
        <v>226</v>
      </c>
    </row>
    <row r="12" spans="1:6" ht="21.75" customHeight="1" x14ac:dyDescent="0.3">
      <c r="A12" s="38" t="s">
        <v>227</v>
      </c>
      <c r="B12" s="18" t="s">
        <v>228</v>
      </c>
      <c r="C12" s="4" t="s">
        <v>229</v>
      </c>
      <c r="D12" s="39" t="s">
        <v>222</v>
      </c>
      <c r="E12" s="39" t="s">
        <v>189</v>
      </c>
      <c r="F12" s="40" t="s">
        <v>230</v>
      </c>
    </row>
    <row r="13" spans="1:6" ht="21.75" customHeight="1" x14ac:dyDescent="0.3">
      <c r="A13" s="38" t="s">
        <v>231</v>
      </c>
      <c r="B13" s="18" t="s">
        <v>232</v>
      </c>
      <c r="C13" s="4" t="s">
        <v>233</v>
      </c>
      <c r="D13" s="39" t="s">
        <v>222</v>
      </c>
      <c r="E13" s="39" t="s">
        <v>212</v>
      </c>
      <c r="F13" s="40" t="s">
        <v>234</v>
      </c>
    </row>
    <row r="14" spans="1:6" ht="21.75" customHeight="1" x14ac:dyDescent="0.3">
      <c r="A14" s="38" t="s">
        <v>235</v>
      </c>
      <c r="B14" s="18" t="s">
        <v>236</v>
      </c>
      <c r="C14" s="4" t="s">
        <v>237</v>
      </c>
      <c r="D14" s="39" t="s">
        <v>222</v>
      </c>
      <c r="E14" s="39" t="s">
        <v>212</v>
      </c>
      <c r="F14" s="40" t="s">
        <v>238</v>
      </c>
    </row>
    <row r="15" spans="1:6" ht="21.75" customHeight="1" x14ac:dyDescent="0.3">
      <c r="A15" s="38" t="s">
        <v>239</v>
      </c>
      <c r="B15" s="18" t="s">
        <v>240</v>
      </c>
      <c r="C15" s="4" t="s">
        <v>241</v>
      </c>
      <c r="D15" s="39" t="s">
        <v>222</v>
      </c>
      <c r="E15" s="39" t="s">
        <v>212</v>
      </c>
      <c r="F15" s="40" t="s">
        <v>242</v>
      </c>
    </row>
    <row r="16" spans="1:6" ht="21.75" customHeight="1" x14ac:dyDescent="0.3">
      <c r="A16" s="41" t="s">
        <v>243</v>
      </c>
      <c r="B16" s="42" t="s">
        <v>244</v>
      </c>
      <c r="C16" s="43" t="s">
        <v>245</v>
      </c>
      <c r="D16" s="44" t="s">
        <v>188</v>
      </c>
      <c r="E16" s="44" t="s">
        <v>194</v>
      </c>
      <c r="F16" s="45" t="s">
        <v>246</v>
      </c>
    </row>
    <row r="17" spans="1:6" ht="21.75" customHeight="1" x14ac:dyDescent="0.3">
      <c r="A17" s="41" t="s">
        <v>247</v>
      </c>
      <c r="B17" s="42" t="s">
        <v>248</v>
      </c>
      <c r="C17" s="43" t="s">
        <v>249</v>
      </c>
      <c r="D17" s="44" t="s">
        <v>188</v>
      </c>
      <c r="E17" s="44" t="s">
        <v>189</v>
      </c>
      <c r="F17" s="45" t="s">
        <v>250</v>
      </c>
    </row>
    <row r="18" spans="1:6" ht="21.75" customHeight="1" x14ac:dyDescent="0.3">
      <c r="A18" s="46" t="s">
        <v>199</v>
      </c>
      <c r="B18" s="47" t="s">
        <v>251</v>
      </c>
      <c r="C18" s="7" t="s">
        <v>252</v>
      </c>
      <c r="D18" s="6" t="s">
        <v>199</v>
      </c>
      <c r="E18" s="6" t="s">
        <v>189</v>
      </c>
      <c r="F18" s="48" t="s">
        <v>253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📋 Employee Dataset</vt:lpstr>
      <vt:lpstr>🔀 IF Function</vt:lpstr>
      <vt:lpstr>🔢 Nested IF &amp; IFS</vt:lpstr>
      <vt:lpstr>⚡ AND, OR, NOT</vt:lpstr>
      <vt:lpstr>🛡️ IFERROR &amp; IFNA</vt:lpstr>
      <vt:lpstr>📊 COUNTIF, SUMIF, AVGIF</vt:lpstr>
      <vt:lpstr>🔀 COUNTIFS, SUMIFS, AVGIFS</vt:lpstr>
      <vt:lpstr>🔄 SWITCH &amp; CHOOSE</vt:lpstr>
      <vt:lpstr>✏️ Practice Exercises</vt:lpstr>
      <vt:lpstr>📌 Quick Reference</vt:lpstr>
      <vt:lpstr>Age</vt:lpstr>
      <vt:lpstr>Department</vt:lpstr>
      <vt:lpstr>empid</vt:lpstr>
      <vt:lpstr>Gender</vt:lpstr>
      <vt:lpstr>Region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nehashaikh10@outlook.com</cp:lastModifiedBy>
  <cp:revision>0</cp:revision>
  <dcterms:created xsi:type="dcterms:W3CDTF">2026-03-10T07:27:55Z</dcterms:created>
  <dcterms:modified xsi:type="dcterms:W3CDTF">2026-08-25T07:35:34Z</dcterms:modified>
  <dc:language>en-US</dc:language>
</cp:coreProperties>
</file>