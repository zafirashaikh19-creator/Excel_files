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shaikh zafira\Downloads\"/>
    </mc:Choice>
  </mc:AlternateContent>
  <xr:revisionPtr revIDLastSave="0" documentId="13_ncr:1_{F4D6938E-A893-40C9-AFAB-5BADBDACCEA6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ales_Data" sheetId="1" r:id="rId1"/>
    <sheet name="Practice_Tasks" sheetId="3" r:id="rId2"/>
    <sheet name="Quick_Reference" sheetId="4" r:id="rId3"/>
  </sheets>
  <definedNames>
    <definedName name="sales">Practice_Tasks!$D$2:$D$31</definedName>
    <definedName name="units">Practice_Tasks!$F$2:$F$31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8" i="3" l="1"/>
  <c r="U27" i="3"/>
  <c r="U17" i="3"/>
  <c r="U16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2" i="3"/>
  <c r="AM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2" i="3"/>
  <c r="AG29" i="3"/>
  <c r="AG30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3" i="3"/>
  <c r="AG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2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  <c r="J3" i="3" a="1"/>
  <c r="J3" i="3" s="1"/>
  <c r="J4" i="3" a="1"/>
  <c r="J4" i="3" s="1"/>
  <c r="J5" i="3" a="1"/>
  <c r="J5" i="3" s="1"/>
  <c r="J6" i="3" a="1"/>
  <c r="J6" i="3" s="1"/>
  <c r="J7" i="3" a="1"/>
  <c r="J7" i="3" s="1"/>
  <c r="J8" i="3" a="1"/>
  <c r="J8" i="3" s="1"/>
  <c r="J9" i="3" a="1"/>
  <c r="J9" i="3" s="1"/>
  <c r="J10" i="3" a="1"/>
  <c r="J10" i="3" s="1"/>
  <c r="J11" i="3" a="1"/>
  <c r="J11" i="3" s="1"/>
  <c r="J12" i="3" a="1"/>
  <c r="J12" i="3" s="1"/>
  <c r="J13" i="3" a="1"/>
  <c r="J13" i="3" s="1"/>
  <c r="J14" i="3" a="1"/>
  <c r="J14" i="3" s="1"/>
  <c r="J15" i="3" a="1"/>
  <c r="J15" i="3" s="1"/>
  <c r="J16" i="3" a="1"/>
  <c r="J16" i="3" s="1"/>
  <c r="J17" i="3" a="1"/>
  <c r="J17" i="3" s="1"/>
  <c r="J18" i="3" a="1"/>
  <c r="J18" i="3" s="1"/>
  <c r="J19" i="3" a="1"/>
  <c r="J19" i="3" s="1"/>
  <c r="J20" i="3" a="1"/>
  <c r="J20" i="3" s="1"/>
  <c r="J21" i="3" a="1"/>
  <c r="J21" i="3" s="1"/>
  <c r="J22" i="3" a="1"/>
  <c r="J22" i="3" s="1"/>
  <c r="J23" i="3" a="1"/>
  <c r="J23" i="3" s="1"/>
  <c r="J24" i="3" a="1"/>
  <c r="J24" i="3" s="1"/>
  <c r="J25" i="3" a="1"/>
  <c r="J25" i="3" s="1"/>
  <c r="J26" i="3" a="1"/>
  <c r="J26" i="3" s="1"/>
  <c r="J27" i="3" a="1"/>
  <c r="J27" i="3" s="1"/>
  <c r="J28" i="3" a="1"/>
  <c r="J28" i="3" s="1"/>
  <c r="J29" i="3" a="1"/>
  <c r="J29" i="3" s="1"/>
  <c r="J30" i="3" a="1"/>
  <c r="J30" i="3" s="1"/>
  <c r="J31" i="3" a="1"/>
  <c r="J31" i="3" s="1"/>
  <c r="J2" i="3" a="1"/>
  <c r="J2" i="3" s="1"/>
  <c r="I3" i="3" a="1"/>
  <c r="I3" i="3" s="1"/>
  <c r="I4" i="3" a="1"/>
  <c r="I4" i="3" s="1"/>
  <c r="I5" i="3" a="1"/>
  <c r="I5" i="3" s="1"/>
  <c r="I6" i="3" a="1"/>
  <c r="I6" i="3" s="1"/>
  <c r="I7" i="3" a="1"/>
  <c r="I7" i="3" s="1"/>
  <c r="I8" i="3" a="1"/>
  <c r="I8" i="3" s="1"/>
  <c r="I9" i="3" a="1"/>
  <c r="I9" i="3" s="1"/>
  <c r="I10" i="3" a="1"/>
  <c r="I10" i="3" s="1"/>
  <c r="I11" i="3" a="1"/>
  <c r="I11" i="3" s="1"/>
  <c r="I12" i="3" a="1"/>
  <c r="I12" i="3" s="1"/>
  <c r="I13" i="3" a="1"/>
  <c r="I13" i="3" s="1"/>
  <c r="I14" i="3" a="1"/>
  <c r="I14" i="3" s="1"/>
  <c r="I15" i="3" a="1"/>
  <c r="I15" i="3" s="1"/>
  <c r="I16" i="3" a="1"/>
  <c r="I16" i="3" s="1"/>
  <c r="I17" i="3" a="1"/>
  <c r="I17" i="3" s="1"/>
  <c r="I18" i="3" a="1"/>
  <c r="I18" i="3" s="1"/>
  <c r="I19" i="3" a="1"/>
  <c r="I19" i="3" s="1"/>
  <c r="I20" i="3" a="1"/>
  <c r="I20" i="3" s="1"/>
  <c r="I21" i="3" a="1"/>
  <c r="I21" i="3" s="1"/>
  <c r="I22" i="3" a="1"/>
  <c r="I22" i="3" s="1"/>
  <c r="I23" i="3" a="1"/>
  <c r="I23" i="3" s="1"/>
  <c r="I24" i="3" a="1"/>
  <c r="I24" i="3" s="1"/>
  <c r="I25" i="3" a="1"/>
  <c r="I25" i="3" s="1"/>
  <c r="I26" i="3" a="1"/>
  <c r="I26" i="3" s="1"/>
  <c r="I27" i="3" a="1"/>
  <c r="I27" i="3" s="1"/>
  <c r="I28" i="3" a="1"/>
  <c r="I28" i="3" s="1"/>
  <c r="I29" i="3" a="1"/>
  <c r="I29" i="3" s="1"/>
  <c r="I30" i="3" a="1"/>
  <c r="I30" i="3" s="1"/>
  <c r="I31" i="3" a="1"/>
  <c r="I31" i="3" s="1"/>
  <c r="I2" i="3" a="1"/>
  <c r="I2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<sst xmlns="http://schemas.openxmlformats.org/spreadsheetml/2006/main" count="407" uniqueCount="172">
  <si>
    <t>📊  SALES PERFORMANCE DATA — FY 2024-25</t>
  </si>
  <si>
    <t>Salesperson</t>
  </si>
  <si>
    <t>Region</t>
  </si>
  <si>
    <t>Category</t>
  </si>
  <si>
    <t>Sales (₹)</t>
  </si>
  <si>
    <t>Status</t>
  </si>
  <si>
    <t>Aarav Shah</t>
  </si>
  <si>
    <t>North</t>
  </si>
  <si>
    <t>Electronics</t>
  </si>
  <si>
    <t>Completed</t>
  </si>
  <si>
    <t>Priya Mehta</t>
  </si>
  <si>
    <t>South</t>
  </si>
  <si>
    <t>Clothing</t>
  </si>
  <si>
    <t>Pending</t>
  </si>
  <si>
    <t>Rahul Verma</t>
  </si>
  <si>
    <t>East</t>
  </si>
  <si>
    <t>Furniture</t>
  </si>
  <si>
    <t>Cancelled</t>
  </si>
  <si>
    <t>Sneha Patil</t>
  </si>
  <si>
    <t>West</t>
  </si>
  <si>
    <t>Groceries</t>
  </si>
  <si>
    <t>Karan Joshi</t>
  </si>
  <si>
    <t>Central</t>
  </si>
  <si>
    <t>Stationery</t>
  </si>
  <si>
    <t>Divya Nair</t>
  </si>
  <si>
    <t>Amit Yadav</t>
  </si>
  <si>
    <t>Neha Gupta</t>
  </si>
  <si>
    <t>Rohan Kapoor</t>
  </si>
  <si>
    <t>Pooja Tiwari</t>
  </si>
  <si>
    <t>Vijay Reddy</t>
  </si>
  <si>
    <t>Ananya Singh</t>
  </si>
  <si>
    <t>Suresh Kumar</t>
  </si>
  <si>
    <t>Meera Iyer</t>
  </si>
  <si>
    <t>Deepak Patel</t>
  </si>
  <si>
    <t>Kavita Sharma</t>
  </si>
  <si>
    <t>Arun Bose</t>
  </si>
  <si>
    <t>Ritu Saxena</t>
  </si>
  <si>
    <t>Manish Dubey</t>
  </si>
  <si>
    <t>Swati Jain</t>
  </si>
  <si>
    <t>Harish Rao</t>
  </si>
  <si>
    <t>Preeti Desai</t>
  </si>
  <si>
    <t>Sunil Mishra</t>
  </si>
  <si>
    <t>Anjali Sinha</t>
  </si>
  <si>
    <t>Tushar More</t>
  </si>
  <si>
    <t>Leela Nambiar</t>
  </si>
  <si>
    <t>Aditya Roy</t>
  </si>
  <si>
    <t>Sunita Choudhary</t>
  </si>
  <si>
    <t>Vivek Menon</t>
  </si>
  <si>
    <t>Bhavna Pillai</t>
  </si>
  <si>
    <t>Units</t>
  </si>
  <si>
    <t>📝  PRACTICE TASKS — DATA SCIENCE TRAINING</t>
  </si>
  <si>
    <t>Instructions: Write your answers in Column E (Answer column). Refer to Sales_Data sheet for data.</t>
  </si>
  <si>
    <t>#</t>
  </si>
  <si>
    <t>Topic</t>
  </si>
  <si>
    <t>Task</t>
  </si>
  <si>
    <t>Expected Output</t>
  </si>
  <si>
    <t>Your Answer</t>
  </si>
  <si>
    <t>IF</t>
  </si>
  <si>
    <t>In column F of Sales_Data, write an IF formula to label each sale as 'High' if Sales ≥ ₹60,000, else 'Low'.</t>
  </si>
  <si>
    <t>High / Low for each row</t>
  </si>
  <si>
    <t>Write an IF formula that returns 'Achieved' if Status is 'Completed', otherwise 'Not Achieved'.</t>
  </si>
  <si>
    <t>Achieved / Not Achieved</t>
  </si>
  <si>
    <t>Nested IF</t>
  </si>
  <si>
    <t>Create a 3-level grade: ≥75000 = 'A', ≥50000 = 'B', else 'C'.</t>
  </si>
  <si>
    <t>A / B / C per row</t>
  </si>
  <si>
    <r>
      <rPr>
        <sz val="11"/>
        <color theme="1"/>
        <rFont val="Calibri"/>
        <charset val="1"/>
      </rPr>
      <t>D3&gt;=50000</t>
    </r>
  </si>
  <si>
    <t>Classify Region: North→'Zone 1', South→'Zone 2', East→'Zone 3', others→'Zone 4'.</t>
  </si>
  <si>
    <t>Zone 1–4 per row</t>
  </si>
  <si>
    <t>IFERROR</t>
  </si>
  <si>
    <t>Use IFERROR to divide Sales  by Units. If sales is blank/zero, show 'N/A'.</t>
  </si>
  <si>
    <t>Numeric or N/A</t>
  </si>
  <si>
    <r>
      <rPr>
        <b/>
        <sz val="11"/>
        <color theme="1"/>
        <rFont val="Calibri"/>
        <charset val="1"/>
      </rPr>
      <t>SUMIFS / COUNTIFS</t>
    </r>
    <r>
      <rPr>
        <sz val="11"/>
        <color theme="1"/>
        <rFont val="Calibri"/>
        <charset val="1"/>
      </rPr>
      <t xml:space="preserve"> → condition is given as </t>
    </r>
    <r>
      <rPr>
        <b/>
        <sz val="11"/>
        <color theme="1"/>
        <rFont val="Calibri"/>
        <charset val="1"/>
      </rPr>
      <t>text instruction</t>
    </r>
    <r>
      <rPr>
        <sz val="11"/>
        <color theme="1"/>
        <rFont val="Calibri"/>
        <charset val="1"/>
      </rPr>
      <t xml:space="preserve"> → use quotes</t>
    </r>
  </si>
  <si>
    <t>COUNT</t>
  </si>
  <si>
    <t>Count how many rows have a numeric value in the Sales (₹) column.</t>
  </si>
  <si>
    <t>57  (3 blanks)</t>
  </si>
  <si>
    <r>
      <rPr>
        <sz val="11"/>
        <color theme="1"/>
        <rFont val="Calibri"/>
        <charset val="1"/>
      </rPr>
      <t>"&gt;=50000"</t>
    </r>
  </si>
  <si>
    <t>COUNTA</t>
  </si>
  <si>
    <t>Count the total number of non-empty cells in the Salesperson column.</t>
  </si>
  <si>
    <t>30</t>
  </si>
  <si>
    <t>COUNTBLANK</t>
  </si>
  <si>
    <t>Find how many Sales entries are blank/missing.</t>
  </si>
  <si>
    <t>3</t>
  </si>
  <si>
    <r>
      <rPr>
        <sz val="11"/>
        <color theme="1"/>
        <rFont val="Calibri"/>
        <charset val="1"/>
      </rPr>
      <t xml:space="preserve">👉 </t>
    </r>
    <r>
      <rPr>
        <b/>
        <sz val="11"/>
        <color theme="1"/>
        <rFont val="Calibri"/>
        <charset val="1"/>
      </rPr>
      <t>Rule:</t>
    </r>
  </si>
  <si>
    <t>COUNTIF</t>
  </si>
  <si>
    <t>Count how many orders have Status = 'Completed'.</t>
  </si>
  <si>
    <t>~21</t>
  </si>
  <si>
    <t>Count how many salespeople are in the 'West' region.</t>
  </si>
  <si>
    <t>6</t>
  </si>
  <si>
    <r>
      <rPr>
        <sz val="11"/>
        <color theme="1"/>
        <rFont val="Calibri"/>
        <charset val="1"/>
      </rPr>
      <t>Direct logic → no quotes</t>
    </r>
  </si>
  <si>
    <t>Count orders where Sales &gt; ₹70,000.</t>
  </si>
  <si>
    <t>Varies</t>
  </si>
  <si>
    <t>Count how many transactions belong to 'Furniture' category.</t>
  </si>
  <si>
    <r>
      <rPr>
        <sz val="11"/>
        <color theme="1"/>
        <rFont val="Calibri"/>
        <charset val="1"/>
      </rPr>
      <t>Criteria functions → quotes needed</t>
    </r>
  </si>
  <si>
    <t>COUNTIFS</t>
  </si>
  <si>
    <t>Count orders that are 'Completed' AND belong to 'Clothing' category.</t>
  </si>
  <si>
    <t>Count orders from the 'South' region with Sales &gt; ₹40,000.</t>
  </si>
  <si>
    <t>Count 'Cancelled' orders in the 'Electronics' category.</t>
  </si>
  <si>
    <t>SUMIF</t>
  </si>
  <si>
    <t>Calculate total sales for all 'Completed' orders.</t>
  </si>
  <si>
    <t>Large ₹ value</t>
  </si>
  <si>
    <t>Find total sales for the 'Central' region.</t>
  </si>
  <si>
    <t>Sum for Central</t>
  </si>
  <si>
    <t>Find total sales where Category = 'Groceries'.</t>
  </si>
  <si>
    <t>Sum for Groceries</t>
  </si>
  <si>
    <t>SUMIFS</t>
  </si>
  <si>
    <t>Total sales that are 'Completed' AND in the 'North' region.</t>
  </si>
  <si>
    <t>₹ total</t>
  </si>
  <si>
    <t>Total sales for 'Electronics' with Status = 'Completed'.</t>
  </si>
  <si>
    <t>Total sales in 'West' region where Sales is between ₹30,000 and ₹80,000.</t>
  </si>
  <si>
    <t>Total sales for 'Furniture' category in 'East' region with Status = 'Completed'.</t>
  </si>
  <si>
    <t>Mixed</t>
  </si>
  <si>
    <t>Use SUMIF to find average sales per region for 'Completed' orders. (SUMIF ÷ COUNTIFS)</t>
  </si>
  <si>
    <t>₹ average</t>
  </si>
  <si>
    <t>Count how many 'High' grade sales (≥60000) are 'Completed'. (Combine IF logic with COUNTIFS)</t>
  </si>
  <si>
    <t>Count</t>
  </si>
  <si>
    <t>Find total revenue lost from 'Cancelled' orders using SUMIF.</t>
  </si>
  <si>
    <t>₹ total cancelled</t>
  </si>
  <si>
    <t>📖  QUICK REFERENCE CARD — EXCEL FUNCTIONS FOR DATA SCIENCE</t>
  </si>
  <si>
    <t>Function</t>
  </si>
  <si>
    <t>Syntax</t>
  </si>
  <si>
    <t>Example</t>
  </si>
  <si>
    <t>Notes</t>
  </si>
  <si>
    <t xml:space="preserve"> =IF(condition, val_if_true, val_if_false)</t>
  </si>
  <si>
    <t xml:space="preserve"> =IF(D3&gt;=50000,"High","Low")</t>
  </si>
  <si>
    <t>Returns one of two values based on condition</t>
  </si>
  <si>
    <t xml:space="preserve"> =IF(C1,V1,IF(C2,V2,V3))</t>
  </si>
  <si>
    <t xml:space="preserve"> =IF(D3&gt;=75000,"A",IF(D3&gt;=50000,"B","C"))</t>
  </si>
  <si>
    <t>Chain multiple IF for 3+ outcomes</t>
  </si>
  <si>
    <t xml:space="preserve"> =IFERROR(formula, value_if_error)</t>
  </si>
  <si>
    <t xml:space="preserve"> =IFERROR(D3/E3,"Error")</t>
  </si>
  <si>
    <t>Catches DIV/0, N/A, VALUE errors etc.</t>
  </si>
  <si>
    <t xml:space="preserve"> =COUNT(range)</t>
  </si>
  <si>
    <t xml:space="preserve"> =COUNT(D3:D32)</t>
  </si>
  <si>
    <t>Counts numeric cells only</t>
  </si>
  <si>
    <t xml:space="preserve"> =COUNTA(range)</t>
  </si>
  <si>
    <t xml:space="preserve"> =COUNTA(A3:A32)</t>
  </si>
  <si>
    <t>Counts all non-empty cells (any type)</t>
  </si>
  <si>
    <t xml:space="preserve"> =COUNTBLANK(range)</t>
  </si>
  <si>
    <t xml:space="preserve"> =COUNTBLANK(D3:D32)</t>
  </si>
  <si>
    <t>Counts empty/blank cells</t>
  </si>
  <si>
    <t xml:space="preserve"> =COUNTIF(range, criteria)</t>
  </si>
  <si>
    <t xml:space="preserve"> =COUNTIF(E3:E32,"Completed")</t>
  </si>
  <si>
    <t>Use wildcards: "North*", "&gt;50000"</t>
  </si>
  <si>
    <t xml:space="preserve"> =COUNTIFS(range1, crit1, range2, crit2, ...)</t>
  </si>
  <si>
    <t xml:space="preserve"> =COUNTIFS(E3:E32,"Completed",B3:B32,"North")</t>
  </si>
  <si>
    <t>Multiple conditions; all must be TRUE (AND)</t>
  </si>
  <si>
    <t xml:space="preserve"> =SUMIF(range, criteria, sum_range)</t>
  </si>
  <si>
    <t xml:space="preserve"> =SUMIF(B3:B32,"North",D3:D32)</t>
  </si>
  <si>
    <t>Sum where ONE condition is met</t>
  </si>
  <si>
    <t xml:space="preserve"> =SUMIFS(sum_range, range1, crit1, range2, crit2, ...)</t>
  </si>
  <si>
    <t xml:space="preserve"> =SUMIFS(D3:D32,E3:E32,"Completed",B3:B32,"North")</t>
  </si>
  <si>
    <t>Sum where MULTIPLE conditions are met</t>
  </si>
  <si>
    <t>High/Low</t>
  </si>
  <si>
    <t>Achieved/Not</t>
  </si>
  <si>
    <t>A/B/C</t>
  </si>
  <si>
    <t>Error</t>
  </si>
  <si>
    <t>CountA</t>
  </si>
  <si>
    <t>CountBLank</t>
  </si>
  <si>
    <t>CountIF</t>
  </si>
  <si>
    <t xml:space="preserve">COUNTIF </t>
  </si>
  <si>
    <t>countif(10)</t>
  </si>
  <si>
    <t>COUNTIF(11)</t>
  </si>
  <si>
    <t>countifs(12)</t>
  </si>
  <si>
    <t>countifs(13)</t>
  </si>
  <si>
    <t>sumif(15)</t>
  </si>
  <si>
    <t>sumif(16)</t>
  </si>
  <si>
    <t>countifs(14)</t>
  </si>
  <si>
    <t>sumif(17)</t>
  </si>
  <si>
    <t>sumifs(18)</t>
  </si>
  <si>
    <t>sumifs(19)</t>
  </si>
  <si>
    <t>sumifs(21)</t>
  </si>
  <si>
    <t>sumifs(20)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</si>
</sst>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#,##0"/>
  </numFmts>
  <fonts count="17" x14ac:knownFonts="1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9"/>
      <color rgb="FFC00000"/>
      <name val="Courier New"/>
      <charset val="1"/>
    </font>
    <font>
      <i/>
      <sz val="9.5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  <font>
      <b/>
      <sz val="10"/>
      <color rgb="FFC00000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sz val="9.5"/>
      <name val="Arial"/>
      <charset val="1"/>
    </font>
    <font>
      <b/>
      <sz val="11"/>
      <color theme="1"/>
      <name val="Calibri"/>
      <charset val="1"/>
    </font>
    <font>
      <b/>
      <sz val="10"/>
      <color rgb="FF843C0C"/>
      <name val="Arial"/>
      <charset val="1"/>
    </font>
    <font>
      <b/>
      <sz val="10"/>
      <color rgb="FF4E1130"/>
      <name val="Arial"/>
      <charset val="1"/>
    </font>
    <font>
      <b/>
      <sz val="10"/>
      <color rgb="FF203764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03764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9E1F2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BE5D6"/>
      </patternFill>
    </fill>
    <fill>
      <patternFill patternType="solid">
        <fgColor rgb="FFF2F2F2"/>
        <bgColor rgb="FFF0F0F0"/>
      </patternFill>
    </fill>
    <fill>
      <patternFill patternType="solid">
        <fgColor rgb="FFFFFFFF"/>
        <bgColor rgb="FFFFFDE7"/>
      </patternFill>
    </fill>
    <fill>
      <patternFill patternType="solid">
        <fgColor rgb="FFFFF2CC"/>
        <bgColor rgb="FFFBE5D6"/>
      </patternFill>
    </fill>
    <fill>
      <patternFill patternType="solid">
        <fgColor rgb="FFFFE0E0"/>
        <bgColor rgb="FFFCE4D6"/>
      </patternFill>
    </fill>
    <fill>
      <patternFill patternType="solid">
        <fgColor rgb="FFF0F0F0"/>
        <bgColor rgb="FFF2F2F2"/>
      </patternFill>
    </fill>
    <fill>
      <patternFill patternType="solid">
        <fgColor rgb="FFFFFDE7"/>
        <bgColor rgb="FFFFFFFF"/>
      </patternFill>
    </fill>
    <fill>
      <patternFill patternType="solid">
        <fgColor rgb="FFDEEAF1"/>
        <bgColor rgb="FFD6E4F0"/>
      </patternFill>
    </fill>
    <fill>
      <patternFill patternType="solid">
        <fgColor rgb="FFEAD1DC"/>
        <bgColor rgb="FFFFE0E0"/>
      </patternFill>
    </fill>
    <fill>
      <patternFill patternType="solid">
        <fgColor rgb="FFD9E1F2"/>
        <bgColor rgb="FFD6E4F0"/>
      </patternFill>
    </fill>
    <fill>
      <patternFill patternType="solid">
        <fgColor rgb="FFFBE5D6"/>
        <bgColor rgb="FFFCE4D6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12" fillId="8" borderId="1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indent="1"/>
    </xf>
    <xf numFmtId="0" fontId="1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1"/>
    </xf>
    <xf numFmtId="0" fontId="0" fillId="0" borderId="3" xfId="0" applyBorder="1"/>
    <xf numFmtId="0" fontId="11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4" fontId="0" fillId="12" borderId="1" xfId="0" applyNumberFormat="1" applyFill="1" applyBorder="1"/>
    <xf numFmtId="0" fontId="13" fillId="0" borderId="3" xfId="0" applyFont="1" applyBorder="1" applyAlignment="1">
      <alignment horizontal="left" indent="1"/>
    </xf>
    <xf numFmtId="0" fontId="11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0" fillId="0" borderId="4" xfId="0" applyBorder="1"/>
    <xf numFmtId="0" fontId="11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008080"/>
      <rgbColor rgb="00BFBFBF"/>
      <rgbColor rgb="00808080"/>
      <rgbColor rgb="009999FF"/>
      <rgbColor rgb="007030A0"/>
      <rgbColor rgb="00FFFDE7"/>
      <rgbColor rgb="00DEEAF1"/>
      <rgbColor rgb="004E1130"/>
      <rgbColor rgb="00ED7D31"/>
      <rgbColor rgb="002E75B6"/>
      <rgbColor rgb="00BDD7EE"/>
      <rgbColor rgb="00000080"/>
      <rgbColor rgb="00FF00FF"/>
      <rgbColor rgb="00F2F2F2"/>
      <rgbColor rgb="0000FFFF"/>
      <rgbColor rgb="00800080"/>
      <rgbColor rgb="00800000"/>
      <rgbColor rgb="00008080"/>
      <rgbColor rgb="000000FF"/>
      <rgbColor rgb="0000CCFF"/>
      <rgbColor rgb="00D6E4F0"/>
      <rgbColor rgb="00E2EFDA"/>
      <rgbColor rgb="00FFF2CC"/>
      <rgbColor rgb="00D9E1F2"/>
      <rgbColor rgb="00FFE0E0"/>
      <rgbColor rgb="00FCE4D6"/>
      <rgbColor rgb="00EAD1DC"/>
      <rgbColor rgb="004472C4"/>
      <rgbColor rgb="0033CCCC"/>
      <rgbColor rgb="0099CC00"/>
      <rgbColor rgb="00FBE5D6"/>
      <rgbColor rgb="00C55A11"/>
      <rgbColor rgb="00E97132"/>
      <rgbColor rgb="00595959"/>
      <rgbColor rgb="0070AD47"/>
      <rgbColor rgb="001F3864"/>
      <rgbColor rgb="00339966"/>
      <rgbColor rgb="00003300"/>
      <rgbColor rgb="00375623"/>
      <rgbColor rgb="00833C00"/>
      <rgbColor rgb="00843C0C"/>
      <rgbColor rgb="00333399"/>
      <rgbColor rgb="002037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E32"/>
  <sheetViews>
    <sheetView zoomScale="85" zoomScaleNormal="85" workbookViewId="0">
      <pane ySplit="2" topLeftCell="A3" activePane="bottomLeft" state="frozen"/>
      <selection pane="bottomLeft" activeCell="H19" sqref="H19"/>
    </sheetView>
  </sheetViews>
  <sheetFormatPr defaultColWidth="8.7109375" defaultRowHeight="15" x14ac:dyDescent="0.25"/>
  <cols>
    <col min="1" max="1" width="22" customWidth="1"/>
    <col min="2" max="2" width="12" customWidth="1"/>
    <col min="3" max="3" width="15" customWidth="1"/>
    <col min="4" max="5" width="14" customWidth="1"/>
    <col min="8" max="8" width="32.140625" customWidth="1"/>
    <col min="9" max="9" width="122" customWidth="1"/>
    <col min="10" max="10" width="14.42578125" customWidth="1"/>
  </cols>
  <sheetData>
    <row r="1" spans="1:5" ht="30" customHeight="1" x14ac:dyDescent="0.25">
      <c r="A1" s="52" t="s">
        <v>0</v>
      </c>
      <c r="B1" s="52"/>
      <c r="C1" s="52"/>
      <c r="D1" s="52"/>
      <c r="E1" s="52"/>
    </row>
    <row r="2" spans="1:5" ht="21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.75" customHeight="1" x14ac:dyDescent="0.25">
      <c r="A3" s="14" t="s">
        <v>6</v>
      </c>
      <c r="B3" s="15" t="s">
        <v>7</v>
      </c>
      <c r="C3" s="15" t="s">
        <v>8</v>
      </c>
      <c r="D3" s="16">
        <v>88810</v>
      </c>
      <c r="E3" s="17" t="s">
        <v>9</v>
      </c>
    </row>
    <row r="4" spans="1:5" ht="18.75" customHeight="1" x14ac:dyDescent="0.25">
      <c r="A4" s="18" t="s">
        <v>10</v>
      </c>
      <c r="B4" s="19" t="s">
        <v>11</v>
      </c>
      <c r="C4" s="19" t="s">
        <v>12</v>
      </c>
      <c r="D4" s="20">
        <v>19592</v>
      </c>
      <c r="E4" s="21" t="s">
        <v>13</v>
      </c>
    </row>
    <row r="5" spans="1:5" ht="18.75" customHeight="1" x14ac:dyDescent="0.25">
      <c r="A5" s="14" t="s">
        <v>14</v>
      </c>
      <c r="B5" s="15" t="s">
        <v>15</v>
      </c>
      <c r="C5" s="15" t="s">
        <v>16</v>
      </c>
      <c r="D5" s="16">
        <v>8278</v>
      </c>
      <c r="E5" s="22" t="s">
        <v>17</v>
      </c>
    </row>
    <row r="6" spans="1:5" ht="18.75" customHeight="1" x14ac:dyDescent="0.25">
      <c r="A6" s="18" t="s">
        <v>18</v>
      </c>
      <c r="B6" s="19" t="s">
        <v>19</v>
      </c>
      <c r="C6" s="19" t="s">
        <v>20</v>
      </c>
      <c r="D6" s="20">
        <v>41048</v>
      </c>
      <c r="E6" s="17" t="s">
        <v>9</v>
      </c>
    </row>
    <row r="7" spans="1:5" ht="18.75" customHeight="1" x14ac:dyDescent="0.25">
      <c r="A7" s="14" t="s">
        <v>21</v>
      </c>
      <c r="B7" s="15" t="s">
        <v>22</v>
      </c>
      <c r="C7" s="15" t="s">
        <v>23</v>
      </c>
      <c r="D7" s="16">
        <v>37098</v>
      </c>
      <c r="E7" s="22" t="s">
        <v>17</v>
      </c>
    </row>
    <row r="8" spans="1:5" ht="18.75" customHeight="1" x14ac:dyDescent="0.25">
      <c r="A8" s="18" t="s">
        <v>24</v>
      </c>
      <c r="B8" s="19" t="s">
        <v>7</v>
      </c>
      <c r="C8" s="19" t="s">
        <v>8</v>
      </c>
      <c r="D8" s="20">
        <v>34256</v>
      </c>
      <c r="E8" s="17" t="s">
        <v>9</v>
      </c>
    </row>
    <row r="9" spans="1:5" ht="18.75" customHeight="1" x14ac:dyDescent="0.25">
      <c r="A9" s="14" t="s">
        <v>25</v>
      </c>
      <c r="B9" s="15" t="s">
        <v>11</v>
      </c>
      <c r="C9" s="15" t="s">
        <v>12</v>
      </c>
      <c r="D9" s="16">
        <v>23289</v>
      </c>
      <c r="E9" s="21" t="s">
        <v>13</v>
      </c>
    </row>
    <row r="10" spans="1:5" ht="18.75" customHeight="1" x14ac:dyDescent="0.25">
      <c r="A10" s="18" t="s">
        <v>26</v>
      </c>
      <c r="B10" s="19" t="s">
        <v>15</v>
      </c>
      <c r="C10" s="19" t="s">
        <v>16</v>
      </c>
      <c r="D10" s="19"/>
      <c r="E10" s="22" t="s">
        <v>17</v>
      </c>
    </row>
    <row r="11" spans="1:5" ht="18.75" customHeight="1" x14ac:dyDescent="0.25">
      <c r="A11" s="14" t="s">
        <v>27</v>
      </c>
      <c r="B11" s="15" t="s">
        <v>19</v>
      </c>
      <c r="C11" s="15" t="s">
        <v>20</v>
      </c>
      <c r="D11" s="16">
        <v>93696</v>
      </c>
      <c r="E11" s="17" t="s">
        <v>9</v>
      </c>
    </row>
    <row r="12" spans="1:5" ht="18.75" customHeight="1" x14ac:dyDescent="0.25">
      <c r="A12" s="18" t="s">
        <v>28</v>
      </c>
      <c r="B12" s="19" t="s">
        <v>22</v>
      </c>
      <c r="C12" s="19" t="s">
        <v>23</v>
      </c>
      <c r="D12" s="20">
        <v>76482</v>
      </c>
      <c r="E12" s="17" t="s">
        <v>9</v>
      </c>
    </row>
    <row r="13" spans="1:5" ht="18.75" customHeight="1" x14ac:dyDescent="0.25">
      <c r="A13" s="14" t="s">
        <v>29</v>
      </c>
      <c r="B13" s="15" t="s">
        <v>7</v>
      </c>
      <c r="C13" s="15" t="s">
        <v>8</v>
      </c>
      <c r="D13" s="16">
        <v>16395</v>
      </c>
      <c r="E13" s="17" t="s">
        <v>9</v>
      </c>
    </row>
    <row r="14" spans="1:5" ht="18.75" customHeight="1" x14ac:dyDescent="0.25">
      <c r="A14" s="18" t="s">
        <v>30</v>
      </c>
      <c r="B14" s="19" t="s">
        <v>11</v>
      </c>
      <c r="C14" s="19" t="s">
        <v>12</v>
      </c>
      <c r="D14" s="20">
        <v>82397</v>
      </c>
      <c r="E14" s="21" t="s">
        <v>13</v>
      </c>
    </row>
    <row r="15" spans="1:5" ht="18.75" customHeight="1" x14ac:dyDescent="0.25">
      <c r="A15" s="14" t="s">
        <v>31</v>
      </c>
      <c r="B15" s="15" t="s">
        <v>15</v>
      </c>
      <c r="C15" s="15" t="s">
        <v>16</v>
      </c>
      <c r="D15" s="16">
        <v>60302</v>
      </c>
      <c r="E15" s="22" t="s">
        <v>17</v>
      </c>
    </row>
    <row r="16" spans="1:5" ht="18.75" customHeight="1" x14ac:dyDescent="0.25">
      <c r="A16" s="18" t="s">
        <v>32</v>
      </c>
      <c r="B16" s="19" t="s">
        <v>19</v>
      </c>
      <c r="C16" s="19" t="s">
        <v>20</v>
      </c>
      <c r="D16" s="20">
        <v>9165</v>
      </c>
      <c r="E16" s="17" t="s">
        <v>9</v>
      </c>
    </row>
    <row r="17" spans="1:5" ht="18.75" customHeight="1" x14ac:dyDescent="0.25">
      <c r="A17" s="14" t="s">
        <v>33</v>
      </c>
      <c r="B17" s="15" t="s">
        <v>22</v>
      </c>
      <c r="C17" s="15" t="s">
        <v>23</v>
      </c>
      <c r="D17" s="16">
        <v>8905</v>
      </c>
      <c r="E17" s="17" t="s">
        <v>9</v>
      </c>
    </row>
    <row r="18" spans="1:5" ht="18.75" customHeight="1" x14ac:dyDescent="0.25">
      <c r="A18" s="18" t="s">
        <v>34</v>
      </c>
      <c r="B18" s="19" t="s">
        <v>7</v>
      </c>
      <c r="C18" s="19" t="s">
        <v>8</v>
      </c>
      <c r="D18" s="19"/>
      <c r="E18" s="17" t="s">
        <v>9</v>
      </c>
    </row>
    <row r="19" spans="1:5" ht="18.75" customHeight="1" x14ac:dyDescent="0.25">
      <c r="A19" s="14" t="s">
        <v>35</v>
      </c>
      <c r="B19" s="15" t="s">
        <v>11</v>
      </c>
      <c r="C19" s="15" t="s">
        <v>12</v>
      </c>
      <c r="D19" s="16">
        <v>33657</v>
      </c>
      <c r="E19" s="21" t="s">
        <v>13</v>
      </c>
    </row>
    <row r="20" spans="1:5" ht="18.75" customHeight="1" x14ac:dyDescent="0.25">
      <c r="A20" s="18" t="s">
        <v>36</v>
      </c>
      <c r="B20" s="19" t="s">
        <v>15</v>
      </c>
      <c r="C20" s="19" t="s">
        <v>16</v>
      </c>
      <c r="D20" s="20">
        <v>35495</v>
      </c>
      <c r="E20" s="22" t="s">
        <v>17</v>
      </c>
    </row>
    <row r="21" spans="1:5" ht="18.75" customHeight="1" x14ac:dyDescent="0.25">
      <c r="A21" s="14" t="s">
        <v>37</v>
      </c>
      <c r="B21" s="15" t="s">
        <v>19</v>
      </c>
      <c r="C21" s="15" t="s">
        <v>20</v>
      </c>
      <c r="D21" s="16">
        <v>71237</v>
      </c>
      <c r="E21" s="17" t="s">
        <v>9</v>
      </c>
    </row>
    <row r="22" spans="1:5" ht="18.75" customHeight="1" x14ac:dyDescent="0.25">
      <c r="A22" s="18" t="s">
        <v>38</v>
      </c>
      <c r="B22" s="19" t="s">
        <v>22</v>
      </c>
      <c r="C22" s="19" t="s">
        <v>23</v>
      </c>
      <c r="D22" s="20">
        <v>83907</v>
      </c>
      <c r="E22" s="17" t="s">
        <v>9</v>
      </c>
    </row>
    <row r="23" spans="1:5" ht="18.75" customHeight="1" x14ac:dyDescent="0.25">
      <c r="A23" s="14" t="s">
        <v>39</v>
      </c>
      <c r="B23" s="15" t="s">
        <v>7</v>
      </c>
      <c r="C23" s="15" t="s">
        <v>8</v>
      </c>
      <c r="D23" s="16">
        <v>8478</v>
      </c>
      <c r="E23" s="17" t="s">
        <v>9</v>
      </c>
    </row>
    <row r="24" spans="1:5" ht="18.75" customHeight="1" x14ac:dyDescent="0.25">
      <c r="A24" s="18" t="s">
        <v>40</v>
      </c>
      <c r="B24" s="19" t="s">
        <v>11</v>
      </c>
      <c r="C24" s="19" t="s">
        <v>12</v>
      </c>
      <c r="D24" s="20">
        <v>78563</v>
      </c>
      <c r="E24" s="21" t="s">
        <v>13</v>
      </c>
    </row>
    <row r="25" spans="1:5" ht="18.75" customHeight="1" x14ac:dyDescent="0.25">
      <c r="A25" s="14" t="s">
        <v>41</v>
      </c>
      <c r="B25" s="15" t="s">
        <v>15</v>
      </c>
      <c r="C25" s="15" t="s">
        <v>16</v>
      </c>
      <c r="D25" s="15"/>
      <c r="E25" s="22" t="s">
        <v>17</v>
      </c>
    </row>
    <row r="26" spans="1:5" ht="18.75" customHeight="1" x14ac:dyDescent="0.25">
      <c r="A26" s="18" t="s">
        <v>42</v>
      </c>
      <c r="B26" s="19" t="s">
        <v>19</v>
      </c>
      <c r="C26" s="19" t="s">
        <v>20</v>
      </c>
      <c r="D26" s="20">
        <v>90181</v>
      </c>
      <c r="E26" s="17" t="s">
        <v>9</v>
      </c>
    </row>
    <row r="27" spans="1:5" ht="18.75" customHeight="1" x14ac:dyDescent="0.25">
      <c r="A27" s="14" t="s">
        <v>43</v>
      </c>
      <c r="B27" s="15" t="s">
        <v>22</v>
      </c>
      <c r="C27" s="15" t="s">
        <v>23</v>
      </c>
      <c r="D27" s="16">
        <v>76426</v>
      </c>
      <c r="E27" s="22" t="s">
        <v>17</v>
      </c>
    </row>
    <row r="28" spans="1:5" ht="18.75" customHeight="1" x14ac:dyDescent="0.25">
      <c r="A28" s="18" t="s">
        <v>44</v>
      </c>
      <c r="B28" s="19" t="s">
        <v>7</v>
      </c>
      <c r="C28" s="19" t="s">
        <v>8</v>
      </c>
      <c r="D28" s="20">
        <v>59987</v>
      </c>
      <c r="E28" s="17" t="s">
        <v>9</v>
      </c>
    </row>
    <row r="29" spans="1:5" ht="18.75" customHeight="1" x14ac:dyDescent="0.25">
      <c r="A29" s="14" t="s">
        <v>45</v>
      </c>
      <c r="B29" s="15" t="s">
        <v>11</v>
      </c>
      <c r="C29" s="15" t="s">
        <v>12</v>
      </c>
      <c r="D29" s="16">
        <v>33893</v>
      </c>
      <c r="E29" s="21" t="s">
        <v>13</v>
      </c>
    </row>
    <row r="30" spans="1:5" ht="18.75" customHeight="1" x14ac:dyDescent="0.25">
      <c r="A30" s="18" t="s">
        <v>46</v>
      </c>
      <c r="B30" s="19" t="s">
        <v>15</v>
      </c>
      <c r="C30" s="19" t="s">
        <v>16</v>
      </c>
      <c r="D30" s="20">
        <v>63878</v>
      </c>
      <c r="E30" s="22" t="s">
        <v>17</v>
      </c>
    </row>
    <row r="31" spans="1:5" ht="18.75" customHeight="1" x14ac:dyDescent="0.25">
      <c r="A31" s="14" t="s">
        <v>47</v>
      </c>
      <c r="B31" s="15" t="s">
        <v>19</v>
      </c>
      <c r="C31" s="15" t="s">
        <v>20</v>
      </c>
      <c r="D31" s="16">
        <v>82236</v>
      </c>
      <c r="E31" s="17" t="s">
        <v>9</v>
      </c>
    </row>
    <row r="32" spans="1:5" ht="18.75" customHeight="1" x14ac:dyDescent="0.25">
      <c r="A32" s="18" t="s">
        <v>48</v>
      </c>
      <c r="B32" s="19" t="s">
        <v>22</v>
      </c>
      <c r="C32" s="19" t="s">
        <v>23</v>
      </c>
      <c r="D32" s="20">
        <v>41463</v>
      </c>
      <c r="E32" s="17" t="s">
        <v>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7132"/>
  </sheetPr>
  <dimension ref="A1:AR60"/>
  <sheetViews>
    <sheetView tabSelected="1" topLeftCell="L1" zoomScale="110" zoomScaleNormal="55" workbookViewId="0">
      <pane ySplit="3" topLeftCell="A24" activePane="bottomLeft" state="frozen"/>
      <selection pane="bottomLeft" activeCell="U29" sqref="U29"/>
    </sheetView>
  </sheetViews>
  <sheetFormatPr defaultColWidth="8.7109375" defaultRowHeight="15" x14ac:dyDescent="0.25"/>
  <cols>
    <col min="1" max="1" width="16.28515625" customWidth="1"/>
    <col min="2" max="2" width="10" customWidth="1"/>
    <col min="3" max="3" width="10.42578125" customWidth="1"/>
    <col min="4" max="4" width="12.5703125" customWidth="1"/>
    <col min="5" max="5" width="16.7109375" customWidth="1"/>
    <col min="6" max="6" width="10.5703125"/>
    <col min="7" max="7" width="15.140625" customWidth="1"/>
    <col min="8" max="8" width="16.7109375" customWidth="1"/>
    <col min="9" max="9" width="15.140625" style="51" customWidth="1"/>
    <col min="10" max="15" width="15.140625" customWidth="1"/>
    <col min="16" max="16" width="17.7109375" customWidth="1"/>
    <col min="17" max="17" width="33.85546875" customWidth="1"/>
    <col min="18" max="18" width="18" customWidth="1"/>
    <col min="19" max="19" width="55" customWidth="1"/>
    <col min="20" max="20" width="28" customWidth="1"/>
    <col min="21" max="21" width="20" customWidth="1"/>
    <col min="24" max="24" width="16.28515625" customWidth="1"/>
    <col min="25" max="25" width="8.140625" customWidth="1"/>
    <col min="26" max="26" width="10.42578125" customWidth="1"/>
    <col min="27" max="27" width="9.5703125" customWidth="1"/>
    <col min="28" max="28" width="10.85546875" customWidth="1"/>
    <col min="33" max="33" width="16.7109375" customWidth="1"/>
    <col min="34" max="34" width="15.28515625" customWidth="1"/>
    <col min="35" max="35" width="12.140625" customWidth="1"/>
    <col min="37" max="37" width="10.42578125" customWidth="1"/>
  </cols>
  <sheetData>
    <row r="1" spans="1:44" ht="30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49</v>
      </c>
      <c r="G1" s="1" t="s">
        <v>152</v>
      </c>
      <c r="H1" s="1" t="s">
        <v>153</v>
      </c>
      <c r="I1" s="1" t="s">
        <v>154</v>
      </c>
      <c r="J1" s="1" t="s">
        <v>2</v>
      </c>
      <c r="K1" s="1" t="s">
        <v>155</v>
      </c>
      <c r="L1" s="1" t="s">
        <v>114</v>
      </c>
      <c r="M1" s="1" t="s">
        <v>156</v>
      </c>
      <c r="N1" s="1" t="s">
        <v>157</v>
      </c>
      <c r="O1" s="1" t="s">
        <v>158</v>
      </c>
      <c r="P1" s="1" t="s">
        <v>159</v>
      </c>
      <c r="Q1" s="1"/>
      <c r="R1" s="1"/>
      <c r="V1" s="52" t="s">
        <v>50</v>
      </c>
      <c r="W1" s="52"/>
      <c r="X1" s="52"/>
      <c r="Y1" s="52"/>
      <c r="Z1" s="52"/>
      <c r="AG1" t="s">
        <v>160</v>
      </c>
      <c r="AH1" t="s">
        <v>161</v>
      </c>
      <c r="AI1" t="s">
        <v>162</v>
      </c>
      <c r="AJ1" t="s">
        <v>163</v>
      </c>
      <c r="AK1" t="s">
        <v>166</v>
      </c>
      <c r="AL1" t="s">
        <v>164</v>
      </c>
      <c r="AM1" t="s">
        <v>165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</row>
    <row r="2" spans="1:44" ht="19.5" customHeight="1" x14ac:dyDescent="0.25">
      <c r="A2" s="14" t="s">
        <v>6</v>
      </c>
      <c r="B2" s="15" t="s">
        <v>7</v>
      </c>
      <c r="C2" s="15" t="s">
        <v>8</v>
      </c>
      <c r="D2" s="16">
        <v>88810</v>
      </c>
      <c r="E2" s="17" t="s">
        <v>9</v>
      </c>
      <c r="F2" s="16">
        <v>3</v>
      </c>
      <c r="G2" t="str">
        <f>IF(D2&gt;=60000,"high","low")</f>
        <v>high</v>
      </c>
      <c r="H2" t="str">
        <f t="shared" ref="H2:H31" si="0">IF(E2="Completed","Achieved","Not Achieved")</f>
        <v>Achieved</v>
      </c>
      <c r="I2" s="51" t="str" cm="1">
        <f t="array" ref="I2">_xlfn.IFS(D2&gt;=75000,"A",D2&gt;=50000,"B",TRUE,"C")</f>
        <v>A</v>
      </c>
      <c r="J2" t="str" cm="1">
        <f t="array" ref="J2">_xlfn.IFS(B2="North","Zone1",B2="South","Zone2",B2="East","Zone3",TRUE,"zone4")</f>
        <v>Zone1</v>
      </c>
      <c r="K2">
        <f>IFERROR(D2/F2,"N/A")</f>
        <v>29603.333333333332</v>
      </c>
      <c r="L2">
        <f>COUNT(D2:D31)</f>
        <v>27</v>
      </c>
      <c r="M2">
        <f>COUNTA(A2:A31)</f>
        <v>30</v>
      </c>
      <c r="N2">
        <f>COUNTBLANK(D2:D31)</f>
        <v>3</v>
      </c>
      <c r="O2">
        <f>COUNTIF(E2:E31,"Completed")</f>
        <v>17</v>
      </c>
      <c r="P2">
        <f>COUNTIF(B2:B31,"west")</f>
        <v>6</v>
      </c>
      <c r="Q2" s="1"/>
      <c r="R2" s="23"/>
      <c r="S2" s="1"/>
      <c r="T2" s="23"/>
      <c r="U2" s="23"/>
      <c r="AG2">
        <f>COUNTIF(D2:D31,"&gt;70000")</f>
        <v>10</v>
      </c>
      <c r="AH2">
        <f>COUNTIF(C2:C31,"furniture")</f>
        <v>6</v>
      </c>
      <c r="AI2">
        <f>COUNTIFS(E2:E31,"completed",C2:C31,"clothing")</f>
        <v>1</v>
      </c>
      <c r="AJ2">
        <f>COUNTIFS(B2:B31,"south",D2:D31,"&gt;40000")</f>
        <v>2</v>
      </c>
      <c r="AK2">
        <f>COUNTIFS(E2:E31,"cancelled",C2:C31,"electronics")</f>
        <v>0</v>
      </c>
      <c r="AL2">
        <f>SUMIF(E2:E31,"completed",D2:D31)</f>
        <v>840139</v>
      </c>
      <c r="AM2">
        <f>SUMIF(B2:B31,"Central",D2:D31)</f>
        <v>324281</v>
      </c>
      <c r="AN2">
        <f>SUMIF(C2:C31,"Groceries",D2:D31)</f>
        <v>387563</v>
      </c>
      <c r="AO2">
        <f t="shared" ref="AO2:AO30" si="1">SUMIFS(D2:D31,E2:E31,"Completed",B2:B31,"North")</f>
        <v>207926</v>
      </c>
      <c r="AP2">
        <f>SUMIFS(D2:D31,C2:C31,"Electronics",E2:E31,"completed")</f>
        <v>207926</v>
      </c>
      <c r="AQ2">
        <f>SUMIFS(D2:D31,C2:C31," Furniture",B2:B31,"East",E2:E31,"Completed")</f>
        <v>0</v>
      </c>
      <c r="AR2">
        <f>SUMIFS(D2:D31,B2:B31,"West",D2:D31,"&gt;=30000",D2:D31,"&lt;=80000")</f>
        <v>112285</v>
      </c>
    </row>
    <row r="3" spans="1:44" ht="21.75" customHeight="1" x14ac:dyDescent="0.25">
      <c r="A3" s="18" t="s">
        <v>10</v>
      </c>
      <c r="B3" s="19" t="s">
        <v>11</v>
      </c>
      <c r="C3" s="19" t="s">
        <v>12</v>
      </c>
      <c r="D3" s="20">
        <v>19592</v>
      </c>
      <c r="E3" s="21" t="s">
        <v>13</v>
      </c>
      <c r="F3" s="20">
        <v>0</v>
      </c>
      <c r="G3" t="str">
        <f t="shared" ref="G3:G31" si="2">IF(D3&gt;=60000,"high","low")</f>
        <v>low</v>
      </c>
      <c r="H3" t="str">
        <f t="shared" si="0"/>
        <v>Not Achieved</v>
      </c>
      <c r="I3" s="51" t="str" cm="1">
        <f t="array" ref="I3">_xlfn.IFS(D3&gt;=75000,"A",D3&gt;=50000,"B",TRUE,"C")</f>
        <v>C</v>
      </c>
      <c r="J3" t="str" cm="1">
        <f t="array" ref="J3">_xlfn.IFS(B3="North","Zone1",B3="South","Zone2",B3="East","Zone3",TRUE,"zone4")</f>
        <v>Zone2</v>
      </c>
      <c r="K3" t="str">
        <f t="shared" ref="K3:K60" si="3">IFERROR(D3/F3,"N/A")</f>
        <v>N/A</v>
      </c>
      <c r="L3">
        <f t="shared" ref="L3:L31" si="4">COUNT(D3:D32)</f>
        <v>26</v>
      </c>
      <c r="M3">
        <f t="shared" ref="M3:M31" si="5">COUNTA(A3:A32)</f>
        <v>29</v>
      </c>
      <c r="N3">
        <f t="shared" ref="N3:N31" si="6">COUNTBLANK(D3:D32)</f>
        <v>4</v>
      </c>
      <c r="O3">
        <f>COUNTIF(E3:E32,"Completed")</f>
        <v>16</v>
      </c>
      <c r="P3">
        <f t="shared" ref="P3:P31" si="7">COUNTIF(B3:B32,"west")</f>
        <v>6</v>
      </c>
      <c r="Q3" s="23" t="s">
        <v>51</v>
      </c>
      <c r="R3" s="1" t="s">
        <v>53</v>
      </c>
      <c r="S3" s="1" t="s">
        <v>54</v>
      </c>
      <c r="T3" s="1" t="s">
        <v>55</v>
      </c>
      <c r="U3" s="1" t="s">
        <v>56</v>
      </c>
      <c r="AG3">
        <f>COUNTIF(D3:D32,"&gt;70000")</f>
        <v>9</v>
      </c>
      <c r="AH3">
        <f t="shared" ref="AH3:AH30" si="8">COUNTIF(C3:C32,"furniture")</f>
        <v>6</v>
      </c>
      <c r="AI3">
        <f t="shared" ref="AI3:AI30" si="9">COUNTIFS(E3:E32,"completed",C3:C32,"clothing")</f>
        <v>1</v>
      </c>
      <c r="AJ3">
        <f t="shared" ref="AJ3:AJ30" si="10">COUNTIFS(B3:B32,"south",D3:D32,"&gt;40000")</f>
        <v>2</v>
      </c>
      <c r="AK3">
        <f t="shared" ref="AK3:AK30" si="11">COUNTIFS(E3:E32,"cancelled",C3:C32,"electronics")</f>
        <v>0</v>
      </c>
      <c r="AL3">
        <f t="shared" ref="AL3:AL30" si="12">SUMIF(E3:E32,"completed",D3:D32)</f>
        <v>751329</v>
      </c>
      <c r="AM3">
        <f t="shared" ref="AM3:AM30" si="13">SUMIF(B3:B32,"central",D3:D32)</f>
        <v>324281</v>
      </c>
      <c r="AN3">
        <f t="shared" ref="AN3:AN30" si="14">SUMIF(C3:C32,"Groceries",D3:D32)</f>
        <v>387563</v>
      </c>
      <c r="AO3">
        <f t="shared" si="1"/>
        <v>119116</v>
      </c>
      <c r="AP3">
        <f t="shared" ref="AP3:AP30" si="15">SUMIFS(D3:D32,C3:C32,"Electronics",E3:E32,"completed")</f>
        <v>119116</v>
      </c>
      <c r="AQ3">
        <f t="shared" ref="AQ3:AQ30" si="16">SUMIFS(D3:D32,C3:C32," Furniture",B3:B32,"East",E3:E32,"Completed")</f>
        <v>0</v>
      </c>
      <c r="AR3">
        <f t="shared" ref="AR3:AR30" si="17">SUMIFS(D3:D32,B3:B32,"West",D3:D32,"&gt;=30000",D3:D32,"&lt;=80000")</f>
        <v>112285</v>
      </c>
    </row>
    <row r="4" spans="1:44" ht="37.5" customHeight="1" x14ac:dyDescent="0.25">
      <c r="A4" s="14" t="s">
        <v>14</v>
      </c>
      <c r="B4" s="15" t="s">
        <v>15</v>
      </c>
      <c r="C4" s="15" t="s">
        <v>16</v>
      </c>
      <c r="D4" s="16">
        <v>8278</v>
      </c>
      <c r="E4" s="22" t="s">
        <v>17</v>
      </c>
      <c r="F4" s="16">
        <v>0</v>
      </c>
      <c r="G4" t="str">
        <f t="shared" si="2"/>
        <v>low</v>
      </c>
      <c r="H4" t="str">
        <f t="shared" si="0"/>
        <v>Not Achieved</v>
      </c>
      <c r="I4" s="51" t="str" cm="1">
        <f t="array" ref="I4">_xlfn.IFS(D4&gt;=75000,"A",D4&gt;=50000,"B",TRUE,"C")</f>
        <v>C</v>
      </c>
      <c r="J4" t="str" cm="1">
        <f t="array" ref="J4">_xlfn.IFS(B4="North","Zone1",B4="South","Zone2",B4="East","Zone3",TRUE,"zone4")</f>
        <v>Zone3</v>
      </c>
      <c r="K4" t="str">
        <f t="shared" si="3"/>
        <v>N/A</v>
      </c>
      <c r="L4">
        <f t="shared" si="4"/>
        <v>25</v>
      </c>
      <c r="M4">
        <f t="shared" si="5"/>
        <v>28</v>
      </c>
      <c r="N4">
        <f t="shared" si="6"/>
        <v>5</v>
      </c>
      <c r="O4">
        <f t="shared" ref="O4:O31" si="18">COUNTIF(E4:E33,"=Completed")</f>
        <v>16</v>
      </c>
      <c r="P4">
        <f t="shared" si="7"/>
        <v>6</v>
      </c>
      <c r="Q4" s="1" t="s">
        <v>52</v>
      </c>
      <c r="R4" s="21" t="s">
        <v>57</v>
      </c>
      <c r="S4" s="25" t="s">
        <v>58</v>
      </c>
      <c r="T4" s="26" t="s">
        <v>59</v>
      </c>
      <c r="U4" s="27"/>
      <c r="AG4">
        <f t="shared" ref="AG4:AG30" si="19">COUNTIF(D4:D33,"&gt;70000")</f>
        <v>9</v>
      </c>
      <c r="AH4">
        <f t="shared" si="8"/>
        <v>6</v>
      </c>
      <c r="AI4">
        <f t="shared" si="9"/>
        <v>1</v>
      </c>
      <c r="AJ4">
        <f t="shared" si="10"/>
        <v>2</v>
      </c>
      <c r="AK4">
        <f t="shared" si="11"/>
        <v>0</v>
      </c>
      <c r="AL4">
        <f t="shared" si="12"/>
        <v>751329</v>
      </c>
      <c r="AM4">
        <f t="shared" si="13"/>
        <v>324281</v>
      </c>
      <c r="AN4">
        <f t="shared" si="14"/>
        <v>387563</v>
      </c>
      <c r="AO4">
        <f t="shared" si="1"/>
        <v>119116</v>
      </c>
      <c r="AP4">
        <f t="shared" si="15"/>
        <v>119116</v>
      </c>
      <c r="AQ4">
        <f t="shared" si="16"/>
        <v>0</v>
      </c>
      <c r="AR4">
        <f t="shared" si="17"/>
        <v>112285</v>
      </c>
    </row>
    <row r="5" spans="1:44" ht="37.5" customHeight="1" x14ac:dyDescent="0.25">
      <c r="A5" s="18" t="s">
        <v>18</v>
      </c>
      <c r="B5" s="19" t="s">
        <v>19</v>
      </c>
      <c r="C5" s="19" t="s">
        <v>20</v>
      </c>
      <c r="D5" s="20">
        <v>41048</v>
      </c>
      <c r="E5" s="17" t="s">
        <v>9</v>
      </c>
      <c r="F5" s="20">
        <v>7</v>
      </c>
      <c r="G5" t="str">
        <f t="shared" si="2"/>
        <v>low</v>
      </c>
      <c r="H5" t="str">
        <f t="shared" si="0"/>
        <v>Achieved</v>
      </c>
      <c r="I5" s="51" t="str" cm="1">
        <f t="array" ref="I5">_xlfn.IFS(D5&gt;=75000,"A",D5&gt;=50000,"B",TRUE,"C")</f>
        <v>C</v>
      </c>
      <c r="J5" t="str" cm="1">
        <f t="array" ref="J5">_xlfn.IFS(B5="North","Zone1",B5="South","Zone2",B5="East","Zone3",TRUE,"zone4")</f>
        <v>zone4</v>
      </c>
      <c r="K5">
        <f t="shared" si="3"/>
        <v>5864</v>
      </c>
      <c r="L5">
        <f t="shared" si="4"/>
        <v>24</v>
      </c>
      <c r="M5">
        <f t="shared" si="5"/>
        <v>27</v>
      </c>
      <c r="N5">
        <f t="shared" si="6"/>
        <v>6</v>
      </c>
      <c r="O5">
        <f t="shared" si="18"/>
        <v>16</v>
      </c>
      <c r="P5">
        <f t="shared" si="7"/>
        <v>6</v>
      </c>
      <c r="Q5" s="24">
        <v>1</v>
      </c>
      <c r="R5" s="21" t="s">
        <v>57</v>
      </c>
      <c r="S5" s="28" t="s">
        <v>60</v>
      </c>
      <c r="T5" s="26" t="s">
        <v>61</v>
      </c>
      <c r="U5" s="27"/>
      <c r="Y5" s="46"/>
      <c r="Z5" s="46"/>
      <c r="AA5" s="46"/>
      <c r="AB5" s="29"/>
      <c r="AC5" s="46"/>
      <c r="AD5" s="46"/>
      <c r="AE5" s="47"/>
      <c r="AG5">
        <f t="shared" si="19"/>
        <v>9</v>
      </c>
      <c r="AH5">
        <f t="shared" si="8"/>
        <v>5</v>
      </c>
      <c r="AI5">
        <f t="shared" si="9"/>
        <v>1</v>
      </c>
      <c r="AJ5">
        <f t="shared" si="10"/>
        <v>2</v>
      </c>
      <c r="AK5">
        <f t="shared" si="11"/>
        <v>0</v>
      </c>
      <c r="AL5">
        <f t="shared" si="12"/>
        <v>751329</v>
      </c>
      <c r="AM5">
        <f t="shared" si="13"/>
        <v>324281</v>
      </c>
      <c r="AN5">
        <f t="shared" si="14"/>
        <v>387563</v>
      </c>
      <c r="AO5">
        <f t="shared" si="1"/>
        <v>119116</v>
      </c>
      <c r="AP5">
        <f t="shared" si="15"/>
        <v>119116</v>
      </c>
      <c r="AQ5">
        <f t="shared" si="16"/>
        <v>0</v>
      </c>
      <c r="AR5">
        <f t="shared" si="17"/>
        <v>112285</v>
      </c>
    </row>
    <row r="6" spans="1:44" ht="37.5" customHeight="1" x14ac:dyDescent="0.25">
      <c r="A6" s="14" t="s">
        <v>21</v>
      </c>
      <c r="B6" s="15" t="s">
        <v>22</v>
      </c>
      <c r="C6" s="15" t="s">
        <v>23</v>
      </c>
      <c r="D6" s="16">
        <v>37098</v>
      </c>
      <c r="E6" s="22" t="s">
        <v>17</v>
      </c>
      <c r="F6" s="16">
        <v>0</v>
      </c>
      <c r="G6" t="str">
        <f t="shared" si="2"/>
        <v>low</v>
      </c>
      <c r="H6" t="str">
        <f t="shared" si="0"/>
        <v>Not Achieved</v>
      </c>
      <c r="I6" s="51" t="str" cm="1">
        <f t="array" ref="I6">_xlfn.IFS(D6&gt;=75000,"A",D6&gt;=50000,"B",TRUE,"C")</f>
        <v>C</v>
      </c>
      <c r="J6" t="str" cm="1">
        <f t="array" ref="J6">_xlfn.IFS(B6="North","Zone1",B6="South","Zone2",B6="East","Zone3",TRUE,"zone4")</f>
        <v>zone4</v>
      </c>
      <c r="K6" t="str">
        <f t="shared" si="3"/>
        <v>N/A</v>
      </c>
      <c r="L6">
        <f t="shared" si="4"/>
        <v>23</v>
      </c>
      <c r="M6">
        <f t="shared" si="5"/>
        <v>26</v>
      </c>
      <c r="N6">
        <f t="shared" si="6"/>
        <v>7</v>
      </c>
      <c r="O6">
        <f t="shared" si="18"/>
        <v>15</v>
      </c>
      <c r="P6">
        <f t="shared" si="7"/>
        <v>5</v>
      </c>
      <c r="Q6" s="24">
        <v>2</v>
      </c>
      <c r="R6" s="17" t="s">
        <v>62</v>
      </c>
      <c r="S6" s="25" t="s">
        <v>63</v>
      </c>
      <c r="T6" s="26" t="s">
        <v>64</v>
      </c>
      <c r="U6" s="27"/>
      <c r="X6" s="31" t="s">
        <v>65</v>
      </c>
      <c r="AE6" s="48"/>
      <c r="AG6">
        <f t="shared" si="19"/>
        <v>9</v>
      </c>
      <c r="AH6">
        <f t="shared" si="8"/>
        <v>5</v>
      </c>
      <c r="AI6">
        <f t="shared" si="9"/>
        <v>1</v>
      </c>
      <c r="AJ6">
        <f t="shared" si="10"/>
        <v>2</v>
      </c>
      <c r="AK6">
        <f t="shared" si="11"/>
        <v>0</v>
      </c>
      <c r="AL6">
        <f t="shared" si="12"/>
        <v>710281</v>
      </c>
      <c r="AM6">
        <f t="shared" si="13"/>
        <v>324281</v>
      </c>
      <c r="AN6">
        <f t="shared" si="14"/>
        <v>346515</v>
      </c>
      <c r="AO6">
        <f t="shared" si="1"/>
        <v>119116</v>
      </c>
      <c r="AP6">
        <f t="shared" si="15"/>
        <v>119116</v>
      </c>
      <c r="AQ6">
        <f t="shared" si="16"/>
        <v>0</v>
      </c>
      <c r="AR6">
        <f t="shared" si="17"/>
        <v>71237</v>
      </c>
    </row>
    <row r="7" spans="1:44" ht="37.5" customHeight="1" x14ac:dyDescent="0.25">
      <c r="A7" s="18" t="s">
        <v>24</v>
      </c>
      <c r="B7" s="19" t="s">
        <v>7</v>
      </c>
      <c r="C7" s="19" t="s">
        <v>8</v>
      </c>
      <c r="D7" s="20">
        <v>34256</v>
      </c>
      <c r="E7" s="17" t="s">
        <v>9</v>
      </c>
      <c r="F7" s="20">
        <v>7</v>
      </c>
      <c r="G7" t="str">
        <f t="shared" si="2"/>
        <v>low</v>
      </c>
      <c r="H7" t="str">
        <f t="shared" si="0"/>
        <v>Achieved</v>
      </c>
      <c r="I7" s="51" t="str" cm="1">
        <f t="array" ref="I7">_xlfn.IFS(D7&gt;=75000,"A",D7&gt;=50000,"B",TRUE,"C")</f>
        <v>C</v>
      </c>
      <c r="J7" t="str" cm="1">
        <f t="array" ref="J7">_xlfn.IFS(B7="North","Zone1",B7="South","Zone2",B7="East","Zone3",TRUE,"zone4")</f>
        <v>Zone1</v>
      </c>
      <c r="K7">
        <f t="shared" si="3"/>
        <v>4893.7142857142853</v>
      </c>
      <c r="L7">
        <f t="shared" si="4"/>
        <v>22</v>
      </c>
      <c r="M7">
        <f t="shared" si="5"/>
        <v>25</v>
      </c>
      <c r="N7">
        <f t="shared" si="6"/>
        <v>8</v>
      </c>
      <c r="O7">
        <f t="shared" si="18"/>
        <v>15</v>
      </c>
      <c r="P7">
        <f t="shared" si="7"/>
        <v>5</v>
      </c>
      <c r="Q7" s="30">
        <v>3</v>
      </c>
      <c r="R7" s="17" t="s">
        <v>62</v>
      </c>
      <c r="S7" s="28" t="s">
        <v>66</v>
      </c>
      <c r="T7" s="26" t="s">
        <v>67</v>
      </c>
      <c r="U7" s="27"/>
      <c r="X7" s="32"/>
      <c r="AE7" s="48"/>
      <c r="AG7">
        <f t="shared" si="19"/>
        <v>9</v>
      </c>
      <c r="AH7">
        <f t="shared" si="8"/>
        <v>5</v>
      </c>
      <c r="AI7">
        <f t="shared" si="9"/>
        <v>1</v>
      </c>
      <c r="AJ7">
        <f t="shared" si="10"/>
        <v>2</v>
      </c>
      <c r="AK7">
        <f t="shared" si="11"/>
        <v>0</v>
      </c>
      <c r="AL7">
        <f t="shared" si="12"/>
        <v>710281</v>
      </c>
      <c r="AM7">
        <f t="shared" si="13"/>
        <v>287183</v>
      </c>
      <c r="AN7">
        <f t="shared" si="14"/>
        <v>346515</v>
      </c>
      <c r="AO7">
        <f t="shared" si="1"/>
        <v>119116</v>
      </c>
      <c r="AP7">
        <f t="shared" si="15"/>
        <v>119116</v>
      </c>
      <c r="AQ7">
        <f t="shared" si="16"/>
        <v>0</v>
      </c>
      <c r="AR7">
        <f t="shared" si="17"/>
        <v>71237</v>
      </c>
    </row>
    <row r="8" spans="1:44" ht="37.5" customHeight="1" x14ac:dyDescent="0.25">
      <c r="A8" s="14" t="s">
        <v>25</v>
      </c>
      <c r="B8" s="15" t="s">
        <v>11</v>
      </c>
      <c r="C8" s="15" t="s">
        <v>12</v>
      </c>
      <c r="D8" s="16">
        <v>23289</v>
      </c>
      <c r="E8" s="21" t="s">
        <v>13</v>
      </c>
      <c r="F8" s="16">
        <v>8</v>
      </c>
      <c r="G8" t="str">
        <f t="shared" si="2"/>
        <v>low</v>
      </c>
      <c r="H8" t="str">
        <f t="shared" si="0"/>
        <v>Not Achieved</v>
      </c>
      <c r="I8" s="51" t="str" cm="1">
        <f t="array" ref="I8">_xlfn.IFS(D8&gt;=75000,"A",D8&gt;=50000,"B",TRUE,"C")</f>
        <v>C</v>
      </c>
      <c r="J8" t="str" cm="1">
        <f t="array" ref="J8">_xlfn.IFS(B8="North","Zone1",B8="South","Zone2",B8="East","Zone3",TRUE,"zone4")</f>
        <v>Zone2</v>
      </c>
      <c r="K8">
        <f t="shared" si="3"/>
        <v>2911.125</v>
      </c>
      <c r="L8">
        <f t="shared" si="4"/>
        <v>21</v>
      </c>
      <c r="M8">
        <f t="shared" si="5"/>
        <v>24</v>
      </c>
      <c r="N8">
        <f t="shared" si="6"/>
        <v>9</v>
      </c>
      <c r="O8">
        <f t="shared" si="18"/>
        <v>14</v>
      </c>
      <c r="P8">
        <f t="shared" si="7"/>
        <v>5</v>
      </c>
      <c r="Q8" s="30">
        <v>4</v>
      </c>
      <c r="R8" s="34" t="s">
        <v>68</v>
      </c>
      <c r="S8" s="25" t="s">
        <v>69</v>
      </c>
      <c r="T8" s="26" t="s">
        <v>70</v>
      </c>
      <c r="U8" s="35"/>
      <c r="X8" s="36" t="s">
        <v>71</v>
      </c>
      <c r="AE8" s="48"/>
      <c r="AG8">
        <f t="shared" si="19"/>
        <v>9</v>
      </c>
      <c r="AH8">
        <f t="shared" si="8"/>
        <v>5</v>
      </c>
      <c r="AI8">
        <f t="shared" si="9"/>
        <v>1</v>
      </c>
      <c r="AJ8">
        <f t="shared" si="10"/>
        <v>2</v>
      </c>
      <c r="AK8">
        <f t="shared" si="11"/>
        <v>0</v>
      </c>
      <c r="AL8">
        <f t="shared" si="12"/>
        <v>676025</v>
      </c>
      <c r="AM8">
        <f t="shared" si="13"/>
        <v>287183</v>
      </c>
      <c r="AN8">
        <f t="shared" si="14"/>
        <v>346515</v>
      </c>
      <c r="AO8">
        <f t="shared" si="1"/>
        <v>84860</v>
      </c>
      <c r="AP8">
        <f t="shared" si="15"/>
        <v>84860</v>
      </c>
      <c r="AQ8">
        <f t="shared" si="16"/>
        <v>0</v>
      </c>
      <c r="AR8">
        <f t="shared" si="17"/>
        <v>71237</v>
      </c>
    </row>
    <row r="9" spans="1:44" ht="37.5" customHeight="1" x14ac:dyDescent="0.25">
      <c r="A9" s="18" t="s">
        <v>26</v>
      </c>
      <c r="B9" s="19" t="s">
        <v>15</v>
      </c>
      <c r="C9" s="19" t="s">
        <v>16</v>
      </c>
      <c r="D9" s="19"/>
      <c r="E9" s="22" t="s">
        <v>17</v>
      </c>
      <c r="F9" s="20">
        <v>4</v>
      </c>
      <c r="G9" t="str">
        <f t="shared" si="2"/>
        <v>low</v>
      </c>
      <c r="H9" t="str">
        <f t="shared" si="0"/>
        <v>Not Achieved</v>
      </c>
      <c r="I9" s="51" t="str" cm="1">
        <f t="array" ref="I9">_xlfn.IFS(D9&gt;=75000,"A",D9&gt;=50000,"B",TRUE,"C")</f>
        <v>C</v>
      </c>
      <c r="J9" t="str" cm="1">
        <f t="array" ref="J9">_xlfn.IFS(B9="North","Zone1",B9="South","Zone2",B9="East","Zone3",TRUE,"zone4")</f>
        <v>Zone3</v>
      </c>
      <c r="K9">
        <f t="shared" si="3"/>
        <v>0</v>
      </c>
      <c r="L9">
        <f t="shared" si="4"/>
        <v>20</v>
      </c>
      <c r="M9">
        <f t="shared" si="5"/>
        <v>23</v>
      </c>
      <c r="N9">
        <f t="shared" si="6"/>
        <v>10</v>
      </c>
      <c r="O9">
        <f t="shared" si="18"/>
        <v>14</v>
      </c>
      <c r="P9">
        <f t="shared" si="7"/>
        <v>5</v>
      </c>
      <c r="Q9" s="33">
        <v>5</v>
      </c>
      <c r="R9" s="38" t="s">
        <v>72</v>
      </c>
      <c r="S9" s="25" t="s">
        <v>73</v>
      </c>
      <c r="T9" s="26" t="s">
        <v>74</v>
      </c>
      <c r="U9" s="27"/>
      <c r="X9" s="31" t="s">
        <v>75</v>
      </c>
      <c r="AE9" s="48"/>
      <c r="AG9">
        <f t="shared" si="19"/>
        <v>9</v>
      </c>
      <c r="AH9">
        <f t="shared" si="8"/>
        <v>5</v>
      </c>
      <c r="AI9">
        <f t="shared" si="9"/>
        <v>1</v>
      </c>
      <c r="AJ9">
        <f t="shared" si="10"/>
        <v>2</v>
      </c>
      <c r="AK9">
        <f t="shared" si="11"/>
        <v>0</v>
      </c>
      <c r="AL9">
        <f t="shared" si="12"/>
        <v>676025</v>
      </c>
      <c r="AM9">
        <f t="shared" si="13"/>
        <v>287183</v>
      </c>
      <c r="AN9">
        <f t="shared" si="14"/>
        <v>346515</v>
      </c>
      <c r="AO9">
        <f t="shared" si="1"/>
        <v>84860</v>
      </c>
      <c r="AP9">
        <f t="shared" si="15"/>
        <v>84860</v>
      </c>
      <c r="AQ9">
        <f t="shared" si="16"/>
        <v>0</v>
      </c>
      <c r="AR9">
        <f t="shared" si="17"/>
        <v>71237</v>
      </c>
    </row>
    <row r="10" spans="1:44" ht="37.5" customHeight="1" x14ac:dyDescent="0.25">
      <c r="A10" s="14" t="s">
        <v>27</v>
      </c>
      <c r="B10" s="15" t="s">
        <v>19</v>
      </c>
      <c r="C10" s="15" t="s">
        <v>20</v>
      </c>
      <c r="D10" s="16">
        <v>93696</v>
      </c>
      <c r="E10" s="17" t="s">
        <v>9</v>
      </c>
      <c r="F10" s="16">
        <v>3</v>
      </c>
      <c r="G10" t="str">
        <f t="shared" si="2"/>
        <v>high</v>
      </c>
      <c r="H10" t="str">
        <f t="shared" si="0"/>
        <v>Achieved</v>
      </c>
      <c r="I10" s="51" t="str" cm="1">
        <f t="array" ref="I10">_xlfn.IFS(D10&gt;=75000,"A",D10&gt;=50000,"B",TRUE,"C")</f>
        <v>A</v>
      </c>
      <c r="J10" t="str" cm="1">
        <f t="array" ref="J10">_xlfn.IFS(B10="North","Zone1",B10="South","Zone2",B10="East","Zone3",TRUE,"zone4")</f>
        <v>zone4</v>
      </c>
      <c r="K10">
        <f t="shared" si="3"/>
        <v>31232</v>
      </c>
      <c r="L10">
        <f t="shared" si="4"/>
        <v>20</v>
      </c>
      <c r="M10">
        <f t="shared" si="5"/>
        <v>22</v>
      </c>
      <c r="N10">
        <f t="shared" si="6"/>
        <v>10</v>
      </c>
      <c r="O10">
        <f t="shared" si="18"/>
        <v>14</v>
      </c>
      <c r="P10">
        <f t="shared" si="7"/>
        <v>5</v>
      </c>
      <c r="Q10" s="37">
        <v>6</v>
      </c>
      <c r="R10" s="38" t="s">
        <v>76</v>
      </c>
      <c r="S10" s="28" t="s">
        <v>77</v>
      </c>
      <c r="T10" s="26" t="s">
        <v>78</v>
      </c>
      <c r="U10" s="27"/>
      <c r="X10" s="32"/>
      <c r="AE10" s="48"/>
      <c r="AG10">
        <f t="shared" si="19"/>
        <v>9</v>
      </c>
      <c r="AH10">
        <f t="shared" si="8"/>
        <v>4</v>
      </c>
      <c r="AI10">
        <f t="shared" si="9"/>
        <v>1</v>
      </c>
      <c r="AJ10">
        <f t="shared" si="10"/>
        <v>2</v>
      </c>
      <c r="AK10">
        <f t="shared" si="11"/>
        <v>0</v>
      </c>
      <c r="AL10">
        <f t="shared" si="12"/>
        <v>676025</v>
      </c>
      <c r="AM10">
        <f t="shared" si="13"/>
        <v>287183</v>
      </c>
      <c r="AN10">
        <f t="shared" si="14"/>
        <v>346515</v>
      </c>
      <c r="AO10">
        <f t="shared" si="1"/>
        <v>84860</v>
      </c>
      <c r="AP10">
        <f t="shared" si="15"/>
        <v>84860</v>
      </c>
      <c r="AQ10">
        <f t="shared" si="16"/>
        <v>0</v>
      </c>
      <c r="AR10">
        <f t="shared" si="17"/>
        <v>71237</v>
      </c>
    </row>
    <row r="11" spans="1:44" ht="37.5" customHeight="1" x14ac:dyDescent="0.25">
      <c r="A11" s="18" t="s">
        <v>28</v>
      </c>
      <c r="B11" s="19" t="s">
        <v>22</v>
      </c>
      <c r="C11" s="19" t="s">
        <v>23</v>
      </c>
      <c r="D11" s="20">
        <v>76482</v>
      </c>
      <c r="E11" s="17" t="s">
        <v>9</v>
      </c>
      <c r="F11" s="20">
        <v>0</v>
      </c>
      <c r="G11" t="str">
        <f t="shared" si="2"/>
        <v>high</v>
      </c>
      <c r="H11" t="str">
        <f t="shared" si="0"/>
        <v>Achieved</v>
      </c>
      <c r="I11" s="51" t="str" cm="1">
        <f t="array" ref="I11">_xlfn.IFS(D11&gt;=75000,"A",D11&gt;=50000,"B",TRUE,"C")</f>
        <v>A</v>
      </c>
      <c r="J11" t="str" cm="1">
        <f t="array" ref="J11">_xlfn.IFS(B11="North","Zone1",B11="South","Zone2",B11="East","Zone3",TRUE,"zone4")</f>
        <v>zone4</v>
      </c>
      <c r="K11" t="str">
        <f t="shared" si="3"/>
        <v>N/A</v>
      </c>
      <c r="L11">
        <f t="shared" si="4"/>
        <v>19</v>
      </c>
      <c r="M11">
        <f t="shared" si="5"/>
        <v>21</v>
      </c>
      <c r="N11">
        <f t="shared" si="6"/>
        <v>11</v>
      </c>
      <c r="O11">
        <f t="shared" si="18"/>
        <v>13</v>
      </c>
      <c r="P11">
        <f t="shared" si="7"/>
        <v>4</v>
      </c>
      <c r="Q11" s="37">
        <v>7</v>
      </c>
      <c r="R11" s="40" t="s">
        <v>79</v>
      </c>
      <c r="S11" s="25" t="s">
        <v>80</v>
      </c>
      <c r="T11" s="26" t="s">
        <v>81</v>
      </c>
      <c r="U11" s="27"/>
      <c r="X11" s="32" t="s">
        <v>82</v>
      </c>
      <c r="AE11" s="48"/>
      <c r="AG11">
        <f t="shared" si="19"/>
        <v>8</v>
      </c>
      <c r="AH11">
        <f t="shared" si="8"/>
        <v>4</v>
      </c>
      <c r="AI11">
        <f t="shared" si="9"/>
        <v>1</v>
      </c>
      <c r="AJ11">
        <f t="shared" si="10"/>
        <v>2</v>
      </c>
      <c r="AK11">
        <f t="shared" si="11"/>
        <v>0</v>
      </c>
      <c r="AL11">
        <f t="shared" si="12"/>
        <v>582329</v>
      </c>
      <c r="AM11">
        <f t="shared" si="13"/>
        <v>287183</v>
      </c>
      <c r="AN11">
        <f t="shared" si="14"/>
        <v>252819</v>
      </c>
      <c r="AO11">
        <f t="shared" si="1"/>
        <v>84860</v>
      </c>
      <c r="AP11">
        <f t="shared" si="15"/>
        <v>84860</v>
      </c>
      <c r="AQ11">
        <f t="shared" si="16"/>
        <v>0</v>
      </c>
      <c r="AR11">
        <f t="shared" si="17"/>
        <v>71237</v>
      </c>
    </row>
    <row r="12" spans="1:44" ht="37.5" customHeight="1" x14ac:dyDescent="0.25">
      <c r="A12" s="14" t="s">
        <v>29</v>
      </c>
      <c r="B12" s="15" t="s">
        <v>7</v>
      </c>
      <c r="C12" s="15" t="s">
        <v>8</v>
      </c>
      <c r="D12" s="16">
        <v>16395</v>
      </c>
      <c r="E12" s="17" t="s">
        <v>9</v>
      </c>
      <c r="F12" s="16">
        <v>2</v>
      </c>
      <c r="G12" t="str">
        <f t="shared" si="2"/>
        <v>low</v>
      </c>
      <c r="H12" t="str">
        <f t="shared" si="0"/>
        <v>Achieved</v>
      </c>
      <c r="I12" s="51" t="str" cm="1">
        <f t="array" ref="I12">_xlfn.IFS(D12&gt;=75000,"A",D12&gt;=50000,"B",TRUE,"C")</f>
        <v>C</v>
      </c>
      <c r="J12" t="str" cm="1">
        <f t="array" ref="J12">_xlfn.IFS(B12="North","Zone1",B12="South","Zone2",B12="East","Zone3",TRUE,"zone4")</f>
        <v>Zone1</v>
      </c>
      <c r="K12">
        <f t="shared" si="3"/>
        <v>8197.5</v>
      </c>
      <c r="L12">
        <f t="shared" si="4"/>
        <v>18</v>
      </c>
      <c r="M12">
        <f t="shared" si="5"/>
        <v>20</v>
      </c>
      <c r="N12">
        <f t="shared" si="6"/>
        <v>12</v>
      </c>
      <c r="O12">
        <f t="shared" si="18"/>
        <v>12</v>
      </c>
      <c r="P12">
        <f t="shared" si="7"/>
        <v>4</v>
      </c>
      <c r="Q12" s="39">
        <v>8</v>
      </c>
      <c r="R12" s="42" t="s">
        <v>83</v>
      </c>
      <c r="S12" s="25" t="s">
        <v>84</v>
      </c>
      <c r="T12" s="26" t="s">
        <v>85</v>
      </c>
      <c r="U12" s="27"/>
      <c r="X12" s="32"/>
      <c r="AE12" s="48"/>
      <c r="AG12">
        <f t="shared" si="19"/>
        <v>7</v>
      </c>
      <c r="AH12">
        <f t="shared" si="8"/>
        <v>4</v>
      </c>
      <c r="AI12">
        <f t="shared" si="9"/>
        <v>1</v>
      </c>
      <c r="AJ12">
        <f t="shared" si="10"/>
        <v>2</v>
      </c>
      <c r="AK12">
        <f t="shared" si="11"/>
        <v>0</v>
      </c>
      <c r="AL12">
        <f t="shared" si="12"/>
        <v>505847</v>
      </c>
      <c r="AM12">
        <f t="shared" si="13"/>
        <v>210701</v>
      </c>
      <c r="AN12">
        <f t="shared" si="14"/>
        <v>252819</v>
      </c>
      <c r="AO12">
        <f t="shared" si="1"/>
        <v>84860</v>
      </c>
      <c r="AP12">
        <f t="shared" si="15"/>
        <v>84860</v>
      </c>
      <c r="AQ12">
        <f t="shared" si="16"/>
        <v>0</v>
      </c>
      <c r="AR12">
        <f t="shared" si="17"/>
        <v>71237</v>
      </c>
    </row>
    <row r="13" spans="1:44" ht="37.5" customHeight="1" x14ac:dyDescent="0.25">
      <c r="A13" s="18" t="s">
        <v>30</v>
      </c>
      <c r="B13" s="19" t="s">
        <v>11</v>
      </c>
      <c r="C13" s="19" t="s">
        <v>12</v>
      </c>
      <c r="D13" s="20">
        <v>82397</v>
      </c>
      <c r="E13" s="21" t="s">
        <v>13</v>
      </c>
      <c r="F13" s="20">
        <v>5</v>
      </c>
      <c r="G13" t="str">
        <f t="shared" si="2"/>
        <v>high</v>
      </c>
      <c r="H13" t="str">
        <f t="shared" si="0"/>
        <v>Not Achieved</v>
      </c>
      <c r="I13" s="51" t="str" cm="1">
        <f t="array" ref="I13">_xlfn.IFS(D13&gt;=75000,"A",D13&gt;=50000,"B",TRUE,"C")</f>
        <v>A</v>
      </c>
      <c r="J13" t="str" cm="1">
        <f t="array" ref="J13">_xlfn.IFS(B13="North","Zone1",B13="South","Zone2",B13="East","Zone3",TRUE,"zone4")</f>
        <v>Zone2</v>
      </c>
      <c r="K13">
        <f t="shared" si="3"/>
        <v>16479.400000000001</v>
      </c>
      <c r="L13">
        <f t="shared" si="4"/>
        <v>17</v>
      </c>
      <c r="M13">
        <f t="shared" si="5"/>
        <v>19</v>
      </c>
      <c r="N13">
        <f t="shared" si="6"/>
        <v>13</v>
      </c>
      <c r="O13">
        <f t="shared" si="18"/>
        <v>11</v>
      </c>
      <c r="P13">
        <f t="shared" si="7"/>
        <v>4</v>
      </c>
      <c r="Q13" s="41">
        <v>9</v>
      </c>
      <c r="R13" s="42" t="s">
        <v>83</v>
      </c>
      <c r="S13" s="28" t="s">
        <v>86</v>
      </c>
      <c r="T13" s="26" t="s">
        <v>87</v>
      </c>
      <c r="U13" s="27"/>
      <c r="X13" s="31" t="s">
        <v>88</v>
      </c>
      <c r="AE13" s="48"/>
      <c r="AG13">
        <f t="shared" si="19"/>
        <v>7</v>
      </c>
      <c r="AH13">
        <f t="shared" si="8"/>
        <v>4</v>
      </c>
      <c r="AI13">
        <f t="shared" si="9"/>
        <v>1</v>
      </c>
      <c r="AJ13">
        <f t="shared" si="10"/>
        <v>2</v>
      </c>
      <c r="AK13">
        <f t="shared" si="11"/>
        <v>0</v>
      </c>
      <c r="AL13">
        <f t="shared" si="12"/>
        <v>489452</v>
      </c>
      <c r="AM13">
        <f t="shared" si="13"/>
        <v>210701</v>
      </c>
      <c r="AN13">
        <f t="shared" si="14"/>
        <v>252819</v>
      </c>
      <c r="AO13">
        <f t="shared" si="1"/>
        <v>68465</v>
      </c>
      <c r="AP13">
        <f t="shared" si="15"/>
        <v>68465</v>
      </c>
      <c r="AQ13">
        <f t="shared" si="16"/>
        <v>0</v>
      </c>
      <c r="AR13">
        <f t="shared" si="17"/>
        <v>71237</v>
      </c>
    </row>
    <row r="14" spans="1:44" ht="37.5" customHeight="1" x14ac:dyDescent="0.25">
      <c r="A14" s="14" t="s">
        <v>31</v>
      </c>
      <c r="B14" s="15" t="s">
        <v>15</v>
      </c>
      <c r="C14" s="15" t="s">
        <v>16</v>
      </c>
      <c r="D14" s="16">
        <v>60302</v>
      </c>
      <c r="E14" s="22" t="s">
        <v>17</v>
      </c>
      <c r="F14" s="16">
        <v>6</v>
      </c>
      <c r="G14" t="str">
        <f t="shared" si="2"/>
        <v>high</v>
      </c>
      <c r="H14" t="str">
        <f t="shared" si="0"/>
        <v>Not Achieved</v>
      </c>
      <c r="I14" s="51" t="str" cm="1">
        <f t="array" ref="I14">_xlfn.IFS(D14&gt;=75000,"A",D14&gt;=50000,"B",TRUE,"C")</f>
        <v>B</v>
      </c>
      <c r="J14" t="str" cm="1">
        <f t="array" ref="J14">_xlfn.IFS(B14="North","Zone1",B14="South","Zone2",B14="East","Zone3",TRUE,"zone4")</f>
        <v>Zone3</v>
      </c>
      <c r="K14">
        <f t="shared" si="3"/>
        <v>10050.333333333334</v>
      </c>
      <c r="L14">
        <f t="shared" si="4"/>
        <v>16</v>
      </c>
      <c r="M14">
        <f t="shared" si="5"/>
        <v>18</v>
      </c>
      <c r="N14">
        <f t="shared" si="6"/>
        <v>14</v>
      </c>
      <c r="O14">
        <f t="shared" si="18"/>
        <v>11</v>
      </c>
      <c r="P14">
        <f t="shared" si="7"/>
        <v>4</v>
      </c>
      <c r="Q14" s="41">
        <v>10</v>
      </c>
      <c r="R14" s="42" t="s">
        <v>83</v>
      </c>
      <c r="S14" s="25" t="s">
        <v>89</v>
      </c>
      <c r="T14" s="26" t="s">
        <v>90</v>
      </c>
      <c r="U14" s="27"/>
      <c r="X14" s="32"/>
      <c r="AE14" s="48"/>
      <c r="AG14">
        <f t="shared" si="19"/>
        <v>6</v>
      </c>
      <c r="AH14">
        <f t="shared" si="8"/>
        <v>4</v>
      </c>
      <c r="AI14">
        <f t="shared" si="9"/>
        <v>1</v>
      </c>
      <c r="AJ14">
        <f t="shared" si="10"/>
        <v>1</v>
      </c>
      <c r="AK14">
        <f t="shared" si="11"/>
        <v>0</v>
      </c>
      <c r="AL14">
        <f t="shared" si="12"/>
        <v>489452</v>
      </c>
      <c r="AM14">
        <f t="shared" si="13"/>
        <v>210701</v>
      </c>
      <c r="AN14">
        <f t="shared" si="14"/>
        <v>252819</v>
      </c>
      <c r="AO14">
        <f t="shared" si="1"/>
        <v>68465</v>
      </c>
      <c r="AP14">
        <f t="shared" si="15"/>
        <v>68465</v>
      </c>
      <c r="AQ14">
        <f t="shared" si="16"/>
        <v>0</v>
      </c>
      <c r="AR14">
        <f t="shared" si="17"/>
        <v>71237</v>
      </c>
    </row>
    <row r="15" spans="1:44" ht="37.5" customHeight="1" x14ac:dyDescent="0.25">
      <c r="A15" s="18" t="s">
        <v>32</v>
      </c>
      <c r="B15" s="19" t="s">
        <v>19</v>
      </c>
      <c r="C15" s="19" t="s">
        <v>20</v>
      </c>
      <c r="D15" s="20">
        <v>9165</v>
      </c>
      <c r="E15" s="17" t="s">
        <v>9</v>
      </c>
      <c r="F15" s="20">
        <v>4</v>
      </c>
      <c r="G15" t="str">
        <f t="shared" si="2"/>
        <v>low</v>
      </c>
      <c r="H15" t="str">
        <f t="shared" si="0"/>
        <v>Achieved</v>
      </c>
      <c r="I15" s="51" t="str" cm="1">
        <f t="array" ref="I15">_xlfn.IFS(D15&gt;=75000,"A",D15&gt;=50000,"B",TRUE,"C")</f>
        <v>C</v>
      </c>
      <c r="J15" t="str" cm="1">
        <f t="array" ref="J15">_xlfn.IFS(B15="North","Zone1",B15="South","Zone2",B15="East","Zone3",TRUE,"zone4")</f>
        <v>zone4</v>
      </c>
      <c r="K15">
        <f t="shared" si="3"/>
        <v>2291.25</v>
      </c>
      <c r="L15">
        <f t="shared" si="4"/>
        <v>15</v>
      </c>
      <c r="M15">
        <f t="shared" si="5"/>
        <v>17</v>
      </c>
      <c r="N15">
        <f t="shared" si="6"/>
        <v>15</v>
      </c>
      <c r="O15">
        <f t="shared" si="18"/>
        <v>11</v>
      </c>
      <c r="P15">
        <f t="shared" si="7"/>
        <v>4</v>
      </c>
      <c r="Q15" s="41">
        <v>11</v>
      </c>
      <c r="R15" s="42" t="s">
        <v>83</v>
      </c>
      <c r="S15" s="28" t="s">
        <v>91</v>
      </c>
      <c r="T15" s="26" t="s">
        <v>87</v>
      </c>
      <c r="U15" s="27"/>
      <c r="X15" s="31" t="s">
        <v>92</v>
      </c>
      <c r="AE15" s="48"/>
      <c r="AG15">
        <f t="shared" si="19"/>
        <v>6</v>
      </c>
      <c r="AH15">
        <f t="shared" si="8"/>
        <v>3</v>
      </c>
      <c r="AI15">
        <f t="shared" si="9"/>
        <v>1</v>
      </c>
      <c r="AJ15">
        <f t="shared" si="10"/>
        <v>1</v>
      </c>
      <c r="AK15">
        <f t="shared" si="11"/>
        <v>0</v>
      </c>
      <c r="AL15">
        <f t="shared" si="12"/>
        <v>489452</v>
      </c>
      <c r="AM15">
        <f t="shared" si="13"/>
        <v>210701</v>
      </c>
      <c r="AN15">
        <f t="shared" si="14"/>
        <v>252819</v>
      </c>
      <c r="AO15">
        <f t="shared" si="1"/>
        <v>68465</v>
      </c>
      <c r="AP15">
        <f t="shared" si="15"/>
        <v>68465</v>
      </c>
      <c r="AQ15">
        <f t="shared" si="16"/>
        <v>0</v>
      </c>
      <c r="AR15">
        <f t="shared" si="17"/>
        <v>71237</v>
      </c>
    </row>
    <row r="16" spans="1:44" ht="37.5" customHeight="1" x14ac:dyDescent="0.25">
      <c r="A16" s="14" t="s">
        <v>33</v>
      </c>
      <c r="B16" s="15" t="s">
        <v>22</v>
      </c>
      <c r="C16" s="15" t="s">
        <v>23</v>
      </c>
      <c r="D16" s="16">
        <v>8905</v>
      </c>
      <c r="E16" s="17" t="s">
        <v>9</v>
      </c>
      <c r="F16" s="16">
        <v>3</v>
      </c>
      <c r="G16" t="str">
        <f t="shared" si="2"/>
        <v>low</v>
      </c>
      <c r="H16" t="str">
        <f t="shared" si="0"/>
        <v>Achieved</v>
      </c>
      <c r="I16" s="51" t="str" cm="1">
        <f t="array" ref="I16">_xlfn.IFS(D16&gt;=75000,"A",D16&gt;=50000,"B",TRUE,"C")</f>
        <v>C</v>
      </c>
      <c r="J16" t="str" cm="1">
        <f t="array" ref="J16">_xlfn.IFS(B16="North","Zone1",B16="South","Zone2",B16="East","Zone3",TRUE,"zone4")</f>
        <v>zone4</v>
      </c>
      <c r="K16">
        <f t="shared" si="3"/>
        <v>2968.3333333333335</v>
      </c>
      <c r="L16">
        <f t="shared" si="4"/>
        <v>14</v>
      </c>
      <c r="M16">
        <f t="shared" si="5"/>
        <v>16</v>
      </c>
      <c r="N16">
        <f t="shared" si="6"/>
        <v>16</v>
      </c>
      <c r="O16">
        <f t="shared" si="18"/>
        <v>10</v>
      </c>
      <c r="P16">
        <f t="shared" si="7"/>
        <v>3</v>
      </c>
      <c r="Q16" s="41">
        <v>12</v>
      </c>
      <c r="R16" s="42" t="s">
        <v>93</v>
      </c>
      <c r="S16" s="25" t="s">
        <v>94</v>
      </c>
      <c r="T16" s="26" t="s">
        <v>90</v>
      </c>
      <c r="U16" s="27">
        <f>COUNTIFS(E:E,"COMPLETED",C:C,"CLOTHING")</f>
        <v>1</v>
      </c>
      <c r="X16" s="43"/>
      <c r="Y16" s="49"/>
      <c r="Z16" s="49"/>
      <c r="AA16" s="49"/>
      <c r="AB16" s="49"/>
      <c r="AC16" s="49"/>
      <c r="AD16" s="49"/>
      <c r="AE16" s="50"/>
      <c r="AG16">
        <f t="shared" si="19"/>
        <v>6</v>
      </c>
      <c r="AH16">
        <f t="shared" si="8"/>
        <v>3</v>
      </c>
      <c r="AI16">
        <f t="shared" si="9"/>
        <v>1</v>
      </c>
      <c r="AJ16">
        <f t="shared" si="10"/>
        <v>1</v>
      </c>
      <c r="AK16">
        <f t="shared" si="11"/>
        <v>0</v>
      </c>
      <c r="AL16">
        <f t="shared" si="12"/>
        <v>480287</v>
      </c>
      <c r="AM16">
        <f t="shared" si="13"/>
        <v>210701</v>
      </c>
      <c r="AN16">
        <f t="shared" si="14"/>
        <v>243654</v>
      </c>
      <c r="AO16">
        <f t="shared" si="1"/>
        <v>68465</v>
      </c>
      <c r="AP16">
        <f t="shared" si="15"/>
        <v>68465</v>
      </c>
      <c r="AQ16">
        <f t="shared" si="16"/>
        <v>0</v>
      </c>
      <c r="AR16">
        <f t="shared" si="17"/>
        <v>71237</v>
      </c>
    </row>
    <row r="17" spans="1:44" ht="37.5" customHeight="1" x14ac:dyDescent="0.25">
      <c r="A17" s="18" t="s">
        <v>34</v>
      </c>
      <c r="B17" s="19" t="s">
        <v>7</v>
      </c>
      <c r="C17" s="19" t="s">
        <v>8</v>
      </c>
      <c r="D17" s="19"/>
      <c r="E17" s="17" t="s">
        <v>9</v>
      </c>
      <c r="F17" s="20">
        <v>3</v>
      </c>
      <c r="G17" t="str">
        <f t="shared" si="2"/>
        <v>low</v>
      </c>
      <c r="H17" t="str">
        <f t="shared" si="0"/>
        <v>Achieved</v>
      </c>
      <c r="I17" s="51" t="str" cm="1">
        <f t="array" ref="I17">_xlfn.IFS(D17&gt;=75000,"A",D17&gt;=50000,"B",TRUE,"C")</f>
        <v>C</v>
      </c>
      <c r="J17" t="str" cm="1">
        <f t="array" ref="J17">_xlfn.IFS(B17="North","Zone1",B17="South","Zone2",B17="East","Zone3",TRUE,"zone4")</f>
        <v>Zone1</v>
      </c>
      <c r="K17">
        <f t="shared" si="3"/>
        <v>0</v>
      </c>
      <c r="L17">
        <f t="shared" si="4"/>
        <v>13</v>
      </c>
      <c r="M17">
        <f t="shared" si="5"/>
        <v>15</v>
      </c>
      <c r="N17">
        <f t="shared" si="6"/>
        <v>17</v>
      </c>
      <c r="O17">
        <f t="shared" si="18"/>
        <v>9</v>
      </c>
      <c r="P17">
        <f t="shared" si="7"/>
        <v>3</v>
      </c>
      <c r="Q17" s="41">
        <v>13</v>
      </c>
      <c r="R17" s="42" t="s">
        <v>93</v>
      </c>
      <c r="S17" s="28" t="s">
        <v>95</v>
      </c>
      <c r="T17" s="26" t="s">
        <v>90</v>
      </c>
      <c r="U17" s="27">
        <f>COUNTIFS(B:B,"SOUTH",E:E,"&gt;40000")</f>
        <v>0</v>
      </c>
      <c r="AG17">
        <f t="shared" si="19"/>
        <v>6</v>
      </c>
      <c r="AH17">
        <f t="shared" si="8"/>
        <v>3</v>
      </c>
      <c r="AI17">
        <f t="shared" si="9"/>
        <v>1</v>
      </c>
      <c r="AJ17">
        <f t="shared" si="10"/>
        <v>1</v>
      </c>
      <c r="AK17">
        <f t="shared" si="11"/>
        <v>0</v>
      </c>
      <c r="AL17">
        <f t="shared" si="12"/>
        <v>471382</v>
      </c>
      <c r="AM17">
        <f t="shared" si="13"/>
        <v>201796</v>
      </c>
      <c r="AN17">
        <f t="shared" si="14"/>
        <v>243654</v>
      </c>
      <c r="AO17">
        <f t="shared" si="1"/>
        <v>68465</v>
      </c>
      <c r="AP17">
        <f t="shared" si="15"/>
        <v>68465</v>
      </c>
      <c r="AQ17">
        <f t="shared" si="16"/>
        <v>0</v>
      </c>
      <c r="AR17">
        <f t="shared" si="17"/>
        <v>71237</v>
      </c>
    </row>
    <row r="18" spans="1:44" ht="37.5" customHeight="1" x14ac:dyDescent="0.25">
      <c r="A18" s="14" t="s">
        <v>35</v>
      </c>
      <c r="B18" s="15" t="s">
        <v>11</v>
      </c>
      <c r="C18" s="15" t="s">
        <v>12</v>
      </c>
      <c r="D18" s="16">
        <v>33657</v>
      </c>
      <c r="E18" s="21" t="s">
        <v>13</v>
      </c>
      <c r="F18" s="16">
        <v>5</v>
      </c>
      <c r="G18" t="str">
        <f t="shared" si="2"/>
        <v>low</v>
      </c>
      <c r="H18" t="str">
        <f t="shared" si="0"/>
        <v>Not Achieved</v>
      </c>
      <c r="I18" s="51" t="str" cm="1">
        <f t="array" ref="I18">_xlfn.IFS(D18&gt;=75000,"A",D18&gt;=50000,"B",TRUE,"C")</f>
        <v>C</v>
      </c>
      <c r="J18" t="str" cm="1">
        <f t="array" ref="J18">_xlfn.IFS(B18="North","Zone1",B18="South","Zone2",B18="East","Zone3",TRUE,"zone4")</f>
        <v>Zone2</v>
      </c>
      <c r="K18">
        <f t="shared" si="3"/>
        <v>6731.4</v>
      </c>
      <c r="L18">
        <f t="shared" si="4"/>
        <v>13</v>
      </c>
      <c r="M18">
        <f t="shared" si="5"/>
        <v>14</v>
      </c>
      <c r="N18">
        <f t="shared" si="6"/>
        <v>17</v>
      </c>
      <c r="O18">
        <f t="shared" si="18"/>
        <v>8</v>
      </c>
      <c r="P18">
        <f t="shared" si="7"/>
        <v>3</v>
      </c>
      <c r="Q18" s="41">
        <v>14</v>
      </c>
      <c r="R18" s="42" t="s">
        <v>93</v>
      </c>
      <c r="S18" s="25" t="s">
        <v>96</v>
      </c>
      <c r="T18" s="26" t="s">
        <v>90</v>
      </c>
      <c r="U18" s="27"/>
      <c r="AG18">
        <f t="shared" si="19"/>
        <v>6</v>
      </c>
      <c r="AH18">
        <f t="shared" si="8"/>
        <v>3</v>
      </c>
      <c r="AI18">
        <f t="shared" si="9"/>
        <v>1</v>
      </c>
      <c r="AJ18">
        <f t="shared" si="10"/>
        <v>1</v>
      </c>
      <c r="AK18">
        <f t="shared" si="11"/>
        <v>0</v>
      </c>
      <c r="AL18">
        <f t="shared" si="12"/>
        <v>471382</v>
      </c>
      <c r="AM18">
        <f t="shared" si="13"/>
        <v>201796</v>
      </c>
      <c r="AN18">
        <f t="shared" si="14"/>
        <v>243654</v>
      </c>
      <c r="AO18">
        <f t="shared" si="1"/>
        <v>68465</v>
      </c>
      <c r="AP18">
        <f t="shared" si="15"/>
        <v>68465</v>
      </c>
      <c r="AQ18">
        <f t="shared" si="16"/>
        <v>0</v>
      </c>
      <c r="AR18">
        <f t="shared" si="17"/>
        <v>71237</v>
      </c>
    </row>
    <row r="19" spans="1:44" ht="37.5" customHeight="1" x14ac:dyDescent="0.25">
      <c r="A19" s="18" t="s">
        <v>36</v>
      </c>
      <c r="B19" s="19" t="s">
        <v>15</v>
      </c>
      <c r="C19" s="19" t="s">
        <v>16</v>
      </c>
      <c r="D19" s="20">
        <v>35495</v>
      </c>
      <c r="E19" s="22" t="s">
        <v>17</v>
      </c>
      <c r="F19" s="20">
        <v>5</v>
      </c>
      <c r="G19" t="str">
        <f t="shared" si="2"/>
        <v>low</v>
      </c>
      <c r="H19" t="str">
        <f t="shared" si="0"/>
        <v>Not Achieved</v>
      </c>
      <c r="I19" s="51" t="str" cm="1">
        <f t="array" ref="I19">_xlfn.IFS(D19&gt;=75000,"A",D19&gt;=50000,"B",TRUE,"C")</f>
        <v>C</v>
      </c>
      <c r="J19" t="str" cm="1">
        <f t="array" ref="J19">_xlfn.IFS(B19="North","Zone1",B19="South","Zone2",B19="East","Zone3",TRUE,"zone4")</f>
        <v>Zone3</v>
      </c>
      <c r="K19">
        <f t="shared" si="3"/>
        <v>7099</v>
      </c>
      <c r="L19">
        <f t="shared" si="4"/>
        <v>12</v>
      </c>
      <c r="M19">
        <f t="shared" si="5"/>
        <v>13</v>
      </c>
      <c r="N19">
        <f t="shared" si="6"/>
        <v>18</v>
      </c>
      <c r="O19">
        <f t="shared" si="18"/>
        <v>8</v>
      </c>
      <c r="P19">
        <f t="shared" si="7"/>
        <v>3</v>
      </c>
      <c r="Q19" s="41">
        <v>15</v>
      </c>
      <c r="R19" s="17" t="s">
        <v>97</v>
      </c>
      <c r="S19" s="28" t="s">
        <v>98</v>
      </c>
      <c r="T19" s="26" t="s">
        <v>99</v>
      </c>
      <c r="U19" s="27"/>
      <c r="AG19">
        <f t="shared" si="19"/>
        <v>6</v>
      </c>
      <c r="AH19">
        <f t="shared" si="8"/>
        <v>3</v>
      </c>
      <c r="AI19">
        <f t="shared" si="9"/>
        <v>1</v>
      </c>
      <c r="AJ19">
        <f t="shared" si="10"/>
        <v>1</v>
      </c>
      <c r="AK19">
        <f t="shared" si="11"/>
        <v>0</v>
      </c>
      <c r="AL19">
        <f t="shared" si="12"/>
        <v>471382</v>
      </c>
      <c r="AM19">
        <f t="shared" si="13"/>
        <v>201796</v>
      </c>
      <c r="AN19">
        <f t="shared" si="14"/>
        <v>243654</v>
      </c>
      <c r="AO19">
        <f t="shared" si="1"/>
        <v>68465</v>
      </c>
      <c r="AP19">
        <f t="shared" si="15"/>
        <v>68465</v>
      </c>
      <c r="AQ19">
        <f t="shared" si="16"/>
        <v>0</v>
      </c>
      <c r="AR19">
        <f t="shared" si="17"/>
        <v>71237</v>
      </c>
    </row>
    <row r="20" spans="1:44" ht="37.5" customHeight="1" x14ac:dyDescent="0.25">
      <c r="A20" s="14" t="s">
        <v>37</v>
      </c>
      <c r="B20" s="15" t="s">
        <v>19</v>
      </c>
      <c r="C20" s="15" t="s">
        <v>20</v>
      </c>
      <c r="D20" s="16">
        <v>71237</v>
      </c>
      <c r="E20" s="17" t="s">
        <v>9</v>
      </c>
      <c r="F20" s="16">
        <v>5</v>
      </c>
      <c r="G20" t="str">
        <f t="shared" si="2"/>
        <v>high</v>
      </c>
      <c r="H20" t="str">
        <f t="shared" si="0"/>
        <v>Achieved</v>
      </c>
      <c r="I20" s="51" t="str" cm="1">
        <f t="array" ref="I20">_xlfn.IFS(D20&gt;=75000,"A",D20&gt;=50000,"B",TRUE,"C")</f>
        <v>B</v>
      </c>
      <c r="J20" t="str" cm="1">
        <f t="array" ref="J20">_xlfn.IFS(B20="North","Zone1",B20="South","Zone2",B20="East","Zone3",TRUE,"zone4")</f>
        <v>zone4</v>
      </c>
      <c r="K20">
        <f t="shared" si="3"/>
        <v>14247.4</v>
      </c>
      <c r="L20">
        <f t="shared" si="4"/>
        <v>11</v>
      </c>
      <c r="M20">
        <f t="shared" si="5"/>
        <v>12</v>
      </c>
      <c r="N20">
        <f t="shared" si="6"/>
        <v>19</v>
      </c>
      <c r="O20">
        <f t="shared" si="18"/>
        <v>8</v>
      </c>
      <c r="P20">
        <f t="shared" si="7"/>
        <v>3</v>
      </c>
      <c r="Q20" s="30">
        <v>16</v>
      </c>
      <c r="R20" s="17" t="s">
        <v>97</v>
      </c>
      <c r="S20" s="25" t="s">
        <v>100</v>
      </c>
      <c r="T20" s="26" t="s">
        <v>101</v>
      </c>
      <c r="U20" s="27"/>
      <c r="AG20">
        <f t="shared" si="19"/>
        <v>6</v>
      </c>
      <c r="AH20">
        <f t="shared" si="8"/>
        <v>2</v>
      </c>
      <c r="AI20">
        <f t="shared" si="9"/>
        <v>1</v>
      </c>
      <c r="AJ20">
        <f t="shared" si="10"/>
        <v>1</v>
      </c>
      <c r="AK20">
        <f t="shared" si="11"/>
        <v>0</v>
      </c>
      <c r="AL20">
        <f t="shared" si="12"/>
        <v>471382</v>
      </c>
      <c r="AM20">
        <f t="shared" si="13"/>
        <v>201796</v>
      </c>
      <c r="AN20">
        <f t="shared" si="14"/>
        <v>243654</v>
      </c>
      <c r="AO20">
        <f t="shared" si="1"/>
        <v>68465</v>
      </c>
      <c r="AP20">
        <f t="shared" si="15"/>
        <v>68465</v>
      </c>
      <c r="AQ20">
        <f t="shared" si="16"/>
        <v>0</v>
      </c>
      <c r="AR20">
        <f t="shared" si="17"/>
        <v>71237</v>
      </c>
    </row>
    <row r="21" spans="1:44" ht="37.5" customHeight="1" x14ac:dyDescent="0.25">
      <c r="A21" s="18" t="s">
        <v>38</v>
      </c>
      <c r="B21" s="19" t="s">
        <v>22</v>
      </c>
      <c r="C21" s="19" t="s">
        <v>23</v>
      </c>
      <c r="D21" s="20">
        <v>83907</v>
      </c>
      <c r="E21" s="17" t="s">
        <v>9</v>
      </c>
      <c r="F21" s="20">
        <v>6</v>
      </c>
      <c r="G21" t="str">
        <f t="shared" si="2"/>
        <v>high</v>
      </c>
      <c r="H21" t="str">
        <f t="shared" si="0"/>
        <v>Achieved</v>
      </c>
      <c r="I21" s="51" t="str" cm="1">
        <f t="array" ref="I21">_xlfn.IFS(D21&gt;=75000,"A",D21&gt;=50000,"B",TRUE,"C")</f>
        <v>A</v>
      </c>
      <c r="J21" t="str" cm="1">
        <f t="array" ref="J21">_xlfn.IFS(B21="North","Zone1",B21="South","Zone2",B21="East","Zone3",TRUE,"zone4")</f>
        <v>zone4</v>
      </c>
      <c r="K21">
        <f t="shared" si="3"/>
        <v>13984.5</v>
      </c>
      <c r="L21">
        <f t="shared" si="4"/>
        <v>10</v>
      </c>
      <c r="M21">
        <f t="shared" si="5"/>
        <v>11</v>
      </c>
      <c r="N21">
        <f t="shared" si="6"/>
        <v>20</v>
      </c>
      <c r="O21">
        <f t="shared" si="18"/>
        <v>7</v>
      </c>
      <c r="P21">
        <f t="shared" si="7"/>
        <v>2</v>
      </c>
      <c r="Q21" s="30">
        <v>17</v>
      </c>
      <c r="R21" s="17" t="s">
        <v>97</v>
      </c>
      <c r="S21" s="28" t="s">
        <v>102</v>
      </c>
      <c r="T21" s="26" t="s">
        <v>103</v>
      </c>
      <c r="U21" s="27"/>
      <c r="AG21">
        <f t="shared" si="19"/>
        <v>5</v>
      </c>
      <c r="AH21">
        <f t="shared" si="8"/>
        <v>2</v>
      </c>
      <c r="AI21">
        <f t="shared" si="9"/>
        <v>1</v>
      </c>
      <c r="AJ21">
        <f t="shared" si="10"/>
        <v>1</v>
      </c>
      <c r="AK21">
        <f t="shared" si="11"/>
        <v>0</v>
      </c>
      <c r="AL21">
        <f t="shared" si="12"/>
        <v>400145</v>
      </c>
      <c r="AM21">
        <f t="shared" si="13"/>
        <v>201796</v>
      </c>
      <c r="AN21">
        <f t="shared" si="14"/>
        <v>172417</v>
      </c>
      <c r="AO21">
        <f t="shared" si="1"/>
        <v>68465</v>
      </c>
      <c r="AP21">
        <f t="shared" si="15"/>
        <v>68465</v>
      </c>
      <c r="AQ21">
        <f t="shared" si="16"/>
        <v>0</v>
      </c>
      <c r="AR21">
        <f t="shared" si="17"/>
        <v>0</v>
      </c>
    </row>
    <row r="22" spans="1:44" ht="37.5" customHeight="1" x14ac:dyDescent="0.25">
      <c r="A22" s="14" t="s">
        <v>39</v>
      </c>
      <c r="B22" s="15" t="s">
        <v>7</v>
      </c>
      <c r="C22" s="15" t="s">
        <v>8</v>
      </c>
      <c r="D22" s="16">
        <v>8478</v>
      </c>
      <c r="E22" s="17" t="s">
        <v>9</v>
      </c>
      <c r="F22" s="16">
        <v>7</v>
      </c>
      <c r="G22" t="str">
        <f t="shared" si="2"/>
        <v>low</v>
      </c>
      <c r="H22" t="str">
        <f t="shared" si="0"/>
        <v>Achieved</v>
      </c>
      <c r="I22" s="51" t="str" cm="1">
        <f t="array" ref="I22">_xlfn.IFS(D22&gt;=75000,"A",D22&gt;=50000,"B",TRUE,"C")</f>
        <v>C</v>
      </c>
      <c r="J22" t="str" cm="1">
        <f t="array" ref="J22">_xlfn.IFS(B22="North","Zone1",B22="South","Zone2",B22="East","Zone3",TRUE,"zone4")</f>
        <v>Zone1</v>
      </c>
      <c r="K22">
        <f t="shared" si="3"/>
        <v>1211.1428571428571</v>
      </c>
      <c r="L22">
        <f t="shared" si="4"/>
        <v>9</v>
      </c>
      <c r="M22">
        <f t="shared" si="5"/>
        <v>10</v>
      </c>
      <c r="N22">
        <f t="shared" si="6"/>
        <v>21</v>
      </c>
      <c r="O22">
        <f t="shared" si="18"/>
        <v>6</v>
      </c>
      <c r="P22">
        <f t="shared" si="7"/>
        <v>2</v>
      </c>
      <c r="Q22" s="30">
        <v>18</v>
      </c>
      <c r="R22" s="17" t="s">
        <v>104</v>
      </c>
      <c r="S22" s="25" t="s">
        <v>105</v>
      </c>
      <c r="T22" s="26" t="s">
        <v>106</v>
      </c>
      <c r="U22" s="27"/>
      <c r="AG22">
        <f t="shared" si="19"/>
        <v>4</v>
      </c>
      <c r="AH22">
        <f t="shared" si="8"/>
        <v>2</v>
      </c>
      <c r="AI22">
        <f t="shared" si="9"/>
        <v>1</v>
      </c>
      <c r="AJ22">
        <f t="shared" si="10"/>
        <v>1</v>
      </c>
      <c r="AK22">
        <f t="shared" si="11"/>
        <v>0</v>
      </c>
      <c r="AL22">
        <f t="shared" si="12"/>
        <v>316238</v>
      </c>
      <c r="AM22">
        <f t="shared" si="13"/>
        <v>117889</v>
      </c>
      <c r="AN22">
        <f t="shared" si="14"/>
        <v>172417</v>
      </c>
      <c r="AO22">
        <f t="shared" si="1"/>
        <v>68465</v>
      </c>
      <c r="AP22">
        <f t="shared" si="15"/>
        <v>68465</v>
      </c>
      <c r="AQ22">
        <f t="shared" si="16"/>
        <v>0</v>
      </c>
      <c r="AR22">
        <f t="shared" si="17"/>
        <v>0</v>
      </c>
    </row>
    <row r="23" spans="1:44" ht="37.5" customHeight="1" x14ac:dyDescent="0.25">
      <c r="A23" s="18" t="s">
        <v>40</v>
      </c>
      <c r="B23" s="19" t="s">
        <v>11</v>
      </c>
      <c r="C23" s="19" t="s">
        <v>12</v>
      </c>
      <c r="D23" s="20">
        <v>78563</v>
      </c>
      <c r="E23" s="21" t="s">
        <v>13</v>
      </c>
      <c r="F23" s="20">
        <v>8</v>
      </c>
      <c r="G23" t="str">
        <f t="shared" si="2"/>
        <v>high</v>
      </c>
      <c r="H23" t="str">
        <f t="shared" si="0"/>
        <v>Not Achieved</v>
      </c>
      <c r="I23" s="51" t="str" cm="1">
        <f t="array" ref="I23">_xlfn.IFS(D23&gt;=75000,"A",D23&gt;=50000,"B",TRUE,"C")</f>
        <v>A</v>
      </c>
      <c r="J23" t="str" cm="1">
        <f t="array" ref="J23">_xlfn.IFS(B23="North","Zone1",B23="South","Zone2",B23="East","Zone3",TRUE,"zone4")</f>
        <v>Zone2</v>
      </c>
      <c r="K23">
        <f t="shared" si="3"/>
        <v>9820.375</v>
      </c>
      <c r="L23">
        <f t="shared" si="4"/>
        <v>8</v>
      </c>
      <c r="M23">
        <f t="shared" si="5"/>
        <v>9</v>
      </c>
      <c r="N23">
        <f t="shared" si="6"/>
        <v>22</v>
      </c>
      <c r="O23">
        <f t="shared" si="18"/>
        <v>5</v>
      </c>
      <c r="P23">
        <f t="shared" si="7"/>
        <v>2</v>
      </c>
      <c r="Q23" s="30">
        <v>19</v>
      </c>
      <c r="R23" s="17" t="s">
        <v>104</v>
      </c>
      <c r="S23" s="28" t="s">
        <v>107</v>
      </c>
      <c r="T23" s="26" t="s">
        <v>106</v>
      </c>
      <c r="U23" s="27"/>
      <c r="AG23">
        <f t="shared" si="19"/>
        <v>4</v>
      </c>
      <c r="AH23">
        <f t="shared" si="8"/>
        <v>2</v>
      </c>
      <c r="AI23">
        <f t="shared" si="9"/>
        <v>1</v>
      </c>
      <c r="AJ23">
        <f t="shared" si="10"/>
        <v>1</v>
      </c>
      <c r="AK23">
        <f t="shared" si="11"/>
        <v>0</v>
      </c>
      <c r="AL23">
        <f t="shared" si="12"/>
        <v>307760</v>
      </c>
      <c r="AM23">
        <f t="shared" si="13"/>
        <v>117889</v>
      </c>
      <c r="AN23">
        <f t="shared" si="14"/>
        <v>172417</v>
      </c>
      <c r="AO23">
        <f t="shared" si="1"/>
        <v>59987</v>
      </c>
      <c r="AP23">
        <f t="shared" si="15"/>
        <v>59987</v>
      </c>
      <c r="AQ23">
        <f t="shared" si="16"/>
        <v>0</v>
      </c>
      <c r="AR23">
        <f t="shared" si="17"/>
        <v>0</v>
      </c>
    </row>
    <row r="24" spans="1:44" ht="37.5" customHeight="1" x14ac:dyDescent="0.25">
      <c r="A24" s="14" t="s">
        <v>41</v>
      </c>
      <c r="B24" s="15" t="s">
        <v>15</v>
      </c>
      <c r="C24" s="15" t="s">
        <v>16</v>
      </c>
      <c r="D24" s="15"/>
      <c r="E24" s="22" t="s">
        <v>17</v>
      </c>
      <c r="F24" s="16">
        <v>8</v>
      </c>
      <c r="G24" t="str">
        <f t="shared" si="2"/>
        <v>low</v>
      </c>
      <c r="H24" t="str">
        <f t="shared" si="0"/>
        <v>Not Achieved</v>
      </c>
      <c r="I24" s="51" t="str" cm="1">
        <f t="array" ref="I24">_xlfn.IFS(D24&gt;=75000,"A",D24&gt;=50000,"B",TRUE,"C")</f>
        <v>C</v>
      </c>
      <c r="J24" t="str" cm="1">
        <f t="array" ref="J24">_xlfn.IFS(B24="North","Zone1",B24="South","Zone2",B24="East","Zone3",TRUE,"zone4")</f>
        <v>Zone3</v>
      </c>
      <c r="K24">
        <f t="shared" si="3"/>
        <v>0</v>
      </c>
      <c r="L24">
        <f t="shared" si="4"/>
        <v>7</v>
      </c>
      <c r="M24">
        <f t="shared" si="5"/>
        <v>8</v>
      </c>
      <c r="N24">
        <f t="shared" si="6"/>
        <v>23</v>
      </c>
      <c r="O24">
        <f t="shared" si="18"/>
        <v>5</v>
      </c>
      <c r="P24">
        <f t="shared" si="7"/>
        <v>2</v>
      </c>
      <c r="Q24" s="30">
        <v>20</v>
      </c>
      <c r="R24" s="17" t="s">
        <v>104</v>
      </c>
      <c r="S24" s="25" t="s">
        <v>108</v>
      </c>
      <c r="T24" s="26" t="s">
        <v>106</v>
      </c>
      <c r="U24" s="27"/>
      <c r="AG24">
        <f t="shared" si="19"/>
        <v>3</v>
      </c>
      <c r="AH24">
        <f t="shared" si="8"/>
        <v>2</v>
      </c>
      <c r="AI24">
        <f t="shared" si="9"/>
        <v>1</v>
      </c>
      <c r="AJ24">
        <f t="shared" si="10"/>
        <v>0</v>
      </c>
      <c r="AK24">
        <f t="shared" si="11"/>
        <v>0</v>
      </c>
      <c r="AL24">
        <f t="shared" si="12"/>
        <v>307760</v>
      </c>
      <c r="AM24">
        <f t="shared" si="13"/>
        <v>117889</v>
      </c>
      <c r="AN24">
        <f t="shared" si="14"/>
        <v>172417</v>
      </c>
      <c r="AO24">
        <f t="shared" si="1"/>
        <v>59987</v>
      </c>
      <c r="AP24">
        <f t="shared" si="15"/>
        <v>59987</v>
      </c>
      <c r="AQ24">
        <f t="shared" si="16"/>
        <v>0</v>
      </c>
      <c r="AR24">
        <f t="shared" si="17"/>
        <v>0</v>
      </c>
    </row>
    <row r="25" spans="1:44" ht="37.5" customHeight="1" x14ac:dyDescent="0.25">
      <c r="A25" s="18" t="s">
        <v>42</v>
      </c>
      <c r="B25" s="19" t="s">
        <v>19</v>
      </c>
      <c r="C25" s="19" t="s">
        <v>20</v>
      </c>
      <c r="D25" s="20">
        <v>90181</v>
      </c>
      <c r="E25" s="17" t="s">
        <v>9</v>
      </c>
      <c r="F25" s="20">
        <v>4</v>
      </c>
      <c r="G25" t="str">
        <f t="shared" si="2"/>
        <v>high</v>
      </c>
      <c r="H25" t="str">
        <f t="shared" si="0"/>
        <v>Achieved</v>
      </c>
      <c r="I25" s="51" t="str" cm="1">
        <f t="array" ref="I25">_xlfn.IFS(D25&gt;=75000,"A",D25&gt;=50000,"B",TRUE,"C")</f>
        <v>A</v>
      </c>
      <c r="J25" t="str" cm="1">
        <f t="array" ref="J25">_xlfn.IFS(B25="North","Zone1",B25="South","Zone2",B25="East","Zone3",TRUE,"zone4")</f>
        <v>zone4</v>
      </c>
      <c r="K25">
        <f t="shared" si="3"/>
        <v>22545.25</v>
      </c>
      <c r="L25">
        <f t="shared" si="4"/>
        <v>7</v>
      </c>
      <c r="M25">
        <f t="shared" si="5"/>
        <v>7</v>
      </c>
      <c r="N25">
        <f t="shared" si="6"/>
        <v>23</v>
      </c>
      <c r="O25">
        <f t="shared" si="18"/>
        <v>5</v>
      </c>
      <c r="P25">
        <f t="shared" si="7"/>
        <v>2</v>
      </c>
      <c r="Q25" s="30">
        <v>21</v>
      </c>
      <c r="R25" s="17" t="s">
        <v>104</v>
      </c>
      <c r="S25" s="28" t="s">
        <v>109</v>
      </c>
      <c r="T25" s="26" t="s">
        <v>106</v>
      </c>
      <c r="U25" s="27"/>
      <c r="AG25">
        <f t="shared" si="19"/>
        <v>3</v>
      </c>
      <c r="AH25">
        <f t="shared" si="8"/>
        <v>1</v>
      </c>
      <c r="AI25">
        <f t="shared" si="9"/>
        <v>1</v>
      </c>
      <c r="AJ25">
        <f t="shared" si="10"/>
        <v>0</v>
      </c>
      <c r="AK25">
        <f t="shared" si="11"/>
        <v>0</v>
      </c>
      <c r="AL25">
        <f t="shared" si="12"/>
        <v>307760</v>
      </c>
      <c r="AM25">
        <f t="shared" si="13"/>
        <v>117889</v>
      </c>
      <c r="AN25">
        <f t="shared" si="14"/>
        <v>172417</v>
      </c>
      <c r="AO25">
        <f t="shared" si="1"/>
        <v>59987</v>
      </c>
      <c r="AP25">
        <f t="shared" si="15"/>
        <v>59987</v>
      </c>
      <c r="AQ25">
        <f t="shared" si="16"/>
        <v>0</v>
      </c>
      <c r="AR25">
        <f t="shared" si="17"/>
        <v>0</v>
      </c>
    </row>
    <row r="26" spans="1:44" ht="37.5" customHeight="1" x14ac:dyDescent="0.25">
      <c r="A26" s="14" t="s">
        <v>43</v>
      </c>
      <c r="B26" s="15" t="s">
        <v>22</v>
      </c>
      <c r="C26" s="15" t="s">
        <v>23</v>
      </c>
      <c r="D26" s="16">
        <v>76426</v>
      </c>
      <c r="E26" s="22" t="s">
        <v>17</v>
      </c>
      <c r="F26" s="16">
        <v>3</v>
      </c>
      <c r="G26" t="str">
        <f t="shared" si="2"/>
        <v>high</v>
      </c>
      <c r="H26" t="str">
        <f t="shared" si="0"/>
        <v>Not Achieved</v>
      </c>
      <c r="I26" s="51" t="str" cm="1">
        <f t="array" ref="I26">_xlfn.IFS(D26&gt;=75000,"A",D26&gt;=50000,"B",TRUE,"C")</f>
        <v>A</v>
      </c>
      <c r="J26" t="str" cm="1">
        <f t="array" ref="J26">_xlfn.IFS(B26="North","Zone1",B26="South","Zone2",B26="East","Zone3",TRUE,"zone4")</f>
        <v>zone4</v>
      </c>
      <c r="K26">
        <f t="shared" si="3"/>
        <v>25475.333333333332</v>
      </c>
      <c r="L26">
        <f t="shared" si="4"/>
        <v>6</v>
      </c>
      <c r="M26">
        <f t="shared" si="5"/>
        <v>6</v>
      </c>
      <c r="N26">
        <f t="shared" si="6"/>
        <v>24</v>
      </c>
      <c r="O26">
        <f t="shared" si="18"/>
        <v>4</v>
      </c>
      <c r="P26">
        <f t="shared" si="7"/>
        <v>1</v>
      </c>
      <c r="Q26" s="30">
        <v>22</v>
      </c>
      <c r="R26" s="45" t="s">
        <v>110</v>
      </c>
      <c r="S26" s="28" t="s">
        <v>111</v>
      </c>
      <c r="T26" s="26" t="s">
        <v>112</v>
      </c>
      <c r="U26" s="27"/>
      <c r="AG26">
        <f t="shared" si="19"/>
        <v>2</v>
      </c>
      <c r="AH26">
        <f t="shared" si="8"/>
        <v>1</v>
      </c>
      <c r="AI26">
        <f t="shared" si="9"/>
        <v>1</v>
      </c>
      <c r="AJ26">
        <f t="shared" si="10"/>
        <v>0</v>
      </c>
      <c r="AK26">
        <f t="shared" si="11"/>
        <v>0</v>
      </c>
      <c r="AL26">
        <f t="shared" si="12"/>
        <v>217579</v>
      </c>
      <c r="AM26">
        <f t="shared" si="13"/>
        <v>117889</v>
      </c>
      <c r="AN26">
        <f t="shared" si="14"/>
        <v>82236</v>
      </c>
      <c r="AO26">
        <f t="shared" si="1"/>
        <v>59987</v>
      </c>
      <c r="AP26">
        <f t="shared" si="15"/>
        <v>59987</v>
      </c>
      <c r="AQ26">
        <f t="shared" si="16"/>
        <v>0</v>
      </c>
      <c r="AR26">
        <f t="shared" si="17"/>
        <v>0</v>
      </c>
    </row>
    <row r="27" spans="1:44" ht="37.5" customHeight="1" x14ac:dyDescent="0.25">
      <c r="A27" s="18" t="s">
        <v>44</v>
      </c>
      <c r="B27" s="19" t="s">
        <v>7</v>
      </c>
      <c r="C27" s="19" t="s">
        <v>8</v>
      </c>
      <c r="D27" s="20">
        <v>59987</v>
      </c>
      <c r="E27" s="17" t="s">
        <v>9</v>
      </c>
      <c r="F27" s="20">
        <v>2</v>
      </c>
      <c r="G27" t="str">
        <f t="shared" si="2"/>
        <v>low</v>
      </c>
      <c r="H27" t="str">
        <f t="shared" si="0"/>
        <v>Achieved</v>
      </c>
      <c r="I27" s="51" t="str" cm="1">
        <f t="array" ref="I27">_xlfn.IFS(D27&gt;=75000,"A",D27&gt;=50000,"B",TRUE,"C")</f>
        <v>B</v>
      </c>
      <c r="J27" t="str" cm="1">
        <f t="array" ref="J27">_xlfn.IFS(B27="North","Zone1",B27="South","Zone2",B27="East","Zone3",TRUE,"zone4")</f>
        <v>Zone1</v>
      </c>
      <c r="K27">
        <f t="shared" si="3"/>
        <v>29993.5</v>
      </c>
      <c r="L27">
        <f t="shared" si="4"/>
        <v>5</v>
      </c>
      <c r="M27">
        <f t="shared" si="5"/>
        <v>5</v>
      </c>
      <c r="N27">
        <f t="shared" si="6"/>
        <v>25</v>
      </c>
      <c r="O27">
        <f t="shared" si="18"/>
        <v>4</v>
      </c>
      <c r="P27">
        <f t="shared" si="7"/>
        <v>1</v>
      </c>
      <c r="Q27" s="44">
        <v>23</v>
      </c>
      <c r="R27" s="45" t="s">
        <v>110</v>
      </c>
      <c r="S27" s="25" t="s">
        <v>113</v>
      </c>
      <c r="T27" s="26" t="s">
        <v>114</v>
      </c>
      <c r="U27" s="27">
        <f>COUNTIFS(sales,"&gt;60000",E2:E31,"COMPLETED")</f>
        <v>7</v>
      </c>
      <c r="AG27">
        <f t="shared" si="19"/>
        <v>1</v>
      </c>
      <c r="AH27">
        <f t="shared" si="8"/>
        <v>1</v>
      </c>
      <c r="AI27">
        <f t="shared" si="9"/>
        <v>1</v>
      </c>
      <c r="AJ27">
        <f t="shared" si="10"/>
        <v>0</v>
      </c>
      <c r="AK27">
        <f t="shared" si="11"/>
        <v>0</v>
      </c>
      <c r="AL27">
        <f t="shared" si="12"/>
        <v>217579</v>
      </c>
      <c r="AM27">
        <f t="shared" si="13"/>
        <v>41463</v>
      </c>
      <c r="AN27">
        <f t="shared" si="14"/>
        <v>82236</v>
      </c>
      <c r="AO27">
        <f t="shared" si="1"/>
        <v>59987</v>
      </c>
      <c r="AP27">
        <f t="shared" si="15"/>
        <v>59987</v>
      </c>
      <c r="AQ27">
        <f t="shared" si="16"/>
        <v>0</v>
      </c>
      <c r="AR27">
        <f t="shared" si="17"/>
        <v>0</v>
      </c>
    </row>
    <row r="28" spans="1:44" ht="37.5" customHeight="1" x14ac:dyDescent="0.25">
      <c r="A28" s="14" t="s">
        <v>45</v>
      </c>
      <c r="B28" s="15" t="s">
        <v>11</v>
      </c>
      <c r="C28" s="15" t="s">
        <v>12</v>
      </c>
      <c r="D28" s="16">
        <v>33893</v>
      </c>
      <c r="E28" s="21" t="s">
        <v>9</v>
      </c>
      <c r="F28" s="16">
        <v>0</v>
      </c>
      <c r="G28" t="str">
        <f t="shared" si="2"/>
        <v>low</v>
      </c>
      <c r="H28" t="str">
        <f t="shared" si="0"/>
        <v>Achieved</v>
      </c>
      <c r="I28" s="51" t="str" cm="1">
        <f t="array" ref="I28">_xlfn.IFS(D28&gt;=75000,"A",D28&gt;=50000,"B",TRUE,"C")</f>
        <v>C</v>
      </c>
      <c r="J28" t="str" cm="1">
        <f t="array" ref="J28">_xlfn.IFS(B28="North","Zone1",B28="South","Zone2",B28="East","Zone3",TRUE,"zone4")</f>
        <v>Zone2</v>
      </c>
      <c r="K28" t="str">
        <f t="shared" si="3"/>
        <v>N/A</v>
      </c>
      <c r="L28">
        <f t="shared" si="4"/>
        <v>4</v>
      </c>
      <c r="M28">
        <f t="shared" si="5"/>
        <v>4</v>
      </c>
      <c r="N28">
        <f t="shared" si="6"/>
        <v>26</v>
      </c>
      <c r="O28">
        <f t="shared" si="18"/>
        <v>3</v>
      </c>
      <c r="P28">
        <f t="shared" si="7"/>
        <v>1</v>
      </c>
      <c r="Q28" s="44">
        <v>24</v>
      </c>
      <c r="R28" s="45" t="s">
        <v>110</v>
      </c>
      <c r="S28" s="28" t="s">
        <v>115</v>
      </c>
      <c r="T28" s="26" t="s">
        <v>116</v>
      </c>
      <c r="U28" s="27">
        <f>SUMIF(E2:E31,"CANCELLED")</f>
        <v>0</v>
      </c>
      <c r="AG28">
        <f t="shared" si="19"/>
        <v>1</v>
      </c>
      <c r="AH28">
        <f t="shared" si="8"/>
        <v>1</v>
      </c>
      <c r="AI28">
        <f t="shared" si="9"/>
        <v>1</v>
      </c>
      <c r="AJ28">
        <f t="shared" si="10"/>
        <v>0</v>
      </c>
      <c r="AK28">
        <f t="shared" si="11"/>
        <v>0</v>
      </c>
      <c r="AL28">
        <f t="shared" si="12"/>
        <v>157592</v>
      </c>
      <c r="AM28">
        <f t="shared" si="13"/>
        <v>41463</v>
      </c>
      <c r="AN28">
        <f t="shared" si="14"/>
        <v>82236</v>
      </c>
      <c r="AO28">
        <f t="shared" si="1"/>
        <v>0</v>
      </c>
      <c r="AP28">
        <f t="shared" si="15"/>
        <v>0</v>
      </c>
      <c r="AQ28">
        <f t="shared" si="16"/>
        <v>0</v>
      </c>
      <c r="AR28">
        <f t="shared" si="17"/>
        <v>0</v>
      </c>
    </row>
    <row r="29" spans="1:44" ht="37.5" customHeight="1" x14ac:dyDescent="0.25">
      <c r="A29" s="18" t="s">
        <v>46</v>
      </c>
      <c r="B29" s="19" t="s">
        <v>15</v>
      </c>
      <c r="C29" s="19" t="s">
        <v>16</v>
      </c>
      <c r="D29" s="20">
        <v>63878</v>
      </c>
      <c r="E29" s="22" t="s">
        <v>17</v>
      </c>
      <c r="F29" s="20">
        <v>5</v>
      </c>
      <c r="G29" t="str">
        <f t="shared" si="2"/>
        <v>high</v>
      </c>
      <c r="H29" t="str">
        <f t="shared" si="0"/>
        <v>Not Achieved</v>
      </c>
      <c r="I29" s="51" t="str" cm="1">
        <f t="array" ref="I29">_xlfn.IFS(D29&gt;=75000,"A",D29&gt;=50000,"B",TRUE,"C")</f>
        <v>B</v>
      </c>
      <c r="J29" t="str" cm="1">
        <f t="array" ref="J29">_xlfn.IFS(B29="North","Zone1",B29="South","Zone2",B29="East","Zone3",TRUE,"zone4")</f>
        <v>Zone3</v>
      </c>
      <c r="K29">
        <f t="shared" si="3"/>
        <v>12775.6</v>
      </c>
      <c r="L29">
        <f t="shared" si="4"/>
        <v>3</v>
      </c>
      <c r="M29">
        <f t="shared" si="5"/>
        <v>3</v>
      </c>
      <c r="N29">
        <f t="shared" si="6"/>
        <v>27</v>
      </c>
      <c r="O29">
        <f t="shared" si="18"/>
        <v>2</v>
      </c>
      <c r="P29">
        <f t="shared" si="7"/>
        <v>1</v>
      </c>
      <c r="Q29" s="44">
        <v>25</v>
      </c>
      <c r="AG29">
        <f>COUNTIF(D29:D58,"&gt;70000")</f>
        <v>1</v>
      </c>
      <c r="AH29">
        <f t="shared" si="8"/>
        <v>1</v>
      </c>
      <c r="AI29">
        <f t="shared" si="9"/>
        <v>0</v>
      </c>
      <c r="AJ29">
        <f t="shared" si="10"/>
        <v>0</v>
      </c>
      <c r="AK29">
        <f t="shared" si="11"/>
        <v>0</v>
      </c>
      <c r="AL29">
        <f t="shared" si="12"/>
        <v>123699</v>
      </c>
      <c r="AM29">
        <f t="shared" si="13"/>
        <v>41463</v>
      </c>
      <c r="AN29">
        <f t="shared" si="14"/>
        <v>82236</v>
      </c>
      <c r="AO29">
        <f t="shared" si="1"/>
        <v>0</v>
      </c>
      <c r="AP29">
        <f t="shared" si="15"/>
        <v>0</v>
      </c>
      <c r="AQ29">
        <f t="shared" si="16"/>
        <v>0</v>
      </c>
      <c r="AR29">
        <f t="shared" si="17"/>
        <v>0</v>
      </c>
    </row>
    <row r="30" spans="1:44" ht="37.5" customHeight="1" x14ac:dyDescent="0.25">
      <c r="A30" s="14" t="s">
        <v>47</v>
      </c>
      <c r="B30" s="15" t="s">
        <v>19</v>
      </c>
      <c r="C30" s="15" t="s">
        <v>20</v>
      </c>
      <c r="D30" s="16">
        <v>82236</v>
      </c>
      <c r="E30" s="17" t="s">
        <v>9</v>
      </c>
      <c r="F30" s="16">
        <v>6</v>
      </c>
      <c r="G30" t="str">
        <f t="shared" si="2"/>
        <v>high</v>
      </c>
      <c r="H30" t="str">
        <f t="shared" si="0"/>
        <v>Achieved</v>
      </c>
      <c r="I30" s="51" t="str" cm="1">
        <f t="array" ref="I30">_xlfn.IFS(D30&gt;=75000,"A",D30&gt;=50000,"B",TRUE,"C")</f>
        <v>A</v>
      </c>
      <c r="J30" t="str" cm="1">
        <f t="array" ref="J30">_xlfn.IFS(B30="North","Zone1",B30="South","Zone2",B30="East","Zone3",TRUE,"zone4")</f>
        <v>zone4</v>
      </c>
      <c r="K30">
        <f t="shared" si="3"/>
        <v>13706</v>
      </c>
      <c r="L30">
        <f t="shared" si="4"/>
        <v>2</v>
      </c>
      <c r="M30">
        <f t="shared" si="5"/>
        <v>2</v>
      </c>
      <c r="N30">
        <f t="shared" si="6"/>
        <v>28</v>
      </c>
      <c r="O30">
        <f t="shared" si="18"/>
        <v>2</v>
      </c>
      <c r="P30">
        <f t="shared" si="7"/>
        <v>1</v>
      </c>
      <c r="AG30">
        <f t="shared" si="19"/>
        <v>1</v>
      </c>
      <c r="AH30">
        <f t="shared" si="8"/>
        <v>0</v>
      </c>
      <c r="AI30">
        <f t="shared" si="9"/>
        <v>0</v>
      </c>
      <c r="AJ30">
        <f t="shared" si="10"/>
        <v>0</v>
      </c>
      <c r="AK30">
        <f t="shared" si="11"/>
        <v>0</v>
      </c>
      <c r="AL30">
        <f t="shared" si="12"/>
        <v>123699</v>
      </c>
      <c r="AM30">
        <f t="shared" si="13"/>
        <v>41463</v>
      </c>
      <c r="AN30">
        <f t="shared" si="14"/>
        <v>82236</v>
      </c>
      <c r="AO30">
        <f t="shared" si="1"/>
        <v>0</v>
      </c>
      <c r="AP30">
        <f t="shared" si="15"/>
        <v>0</v>
      </c>
      <c r="AQ30">
        <f t="shared" si="16"/>
        <v>0</v>
      </c>
      <c r="AR30">
        <f t="shared" si="17"/>
        <v>0</v>
      </c>
    </row>
    <row r="31" spans="1:44" ht="37.5" customHeight="1" x14ac:dyDescent="0.25">
      <c r="A31" s="18" t="s">
        <v>48</v>
      </c>
      <c r="B31" s="19" t="s">
        <v>22</v>
      </c>
      <c r="C31" s="19" t="s">
        <v>23</v>
      </c>
      <c r="D31" s="20">
        <v>41463</v>
      </c>
      <c r="E31" s="17" t="s">
        <v>9</v>
      </c>
      <c r="F31" s="20">
        <v>8</v>
      </c>
      <c r="G31" t="str">
        <f t="shared" si="2"/>
        <v>low</v>
      </c>
      <c r="H31" t="str">
        <f t="shared" si="0"/>
        <v>Achieved</v>
      </c>
      <c r="I31" s="51" t="str" cm="1">
        <f t="array" ref="I31">_xlfn.IFS(D31&gt;=75000,"A",D31&gt;=50000,"B",TRUE,"C")</f>
        <v>C</v>
      </c>
      <c r="J31" t="str" cm="1">
        <f t="array" ref="J31">_xlfn.IFS(B31="North","Zone1",B31="South","Zone2",B31="East","Zone3",TRUE,"zone4")</f>
        <v>zone4</v>
      </c>
      <c r="K31">
        <f t="shared" si="3"/>
        <v>5182.875</v>
      </c>
      <c r="L31">
        <f t="shared" si="4"/>
        <v>1</v>
      </c>
      <c r="M31">
        <f t="shared" si="5"/>
        <v>1</v>
      </c>
      <c r="N31">
        <f t="shared" si="6"/>
        <v>29</v>
      </c>
      <c r="O31">
        <f t="shared" si="18"/>
        <v>1</v>
      </c>
      <c r="P31">
        <f t="shared" si="7"/>
        <v>0</v>
      </c>
    </row>
    <row r="32" spans="1:44" ht="37.5" customHeight="1" x14ac:dyDescent="0.25">
      <c r="K32" t="str">
        <f t="shared" si="3"/>
        <v>N/A</v>
      </c>
    </row>
    <row r="33" spans="11:11" ht="37.5" customHeight="1" x14ac:dyDescent="0.25">
      <c r="K33" t="str">
        <f t="shared" si="3"/>
        <v>N/A</v>
      </c>
    </row>
    <row r="34" spans="11:11" x14ac:dyDescent="0.25">
      <c r="K34" t="str">
        <f t="shared" si="3"/>
        <v>N/A</v>
      </c>
    </row>
    <row r="35" spans="11:11" x14ac:dyDescent="0.25">
      <c r="K35" t="str">
        <f t="shared" si="3"/>
        <v>N/A</v>
      </c>
    </row>
    <row r="36" spans="11:11" x14ac:dyDescent="0.25">
      <c r="K36" t="str">
        <f t="shared" si="3"/>
        <v>N/A</v>
      </c>
    </row>
    <row r="37" spans="11:11" x14ac:dyDescent="0.25">
      <c r="K37" t="str">
        <f t="shared" si="3"/>
        <v>N/A</v>
      </c>
    </row>
    <row r="38" spans="11:11" x14ac:dyDescent="0.25">
      <c r="K38" t="str">
        <f t="shared" si="3"/>
        <v>N/A</v>
      </c>
    </row>
    <row r="39" spans="11:11" x14ac:dyDescent="0.25">
      <c r="K39" t="str">
        <f t="shared" si="3"/>
        <v>N/A</v>
      </c>
    </row>
    <row r="40" spans="11:11" x14ac:dyDescent="0.25">
      <c r="K40" t="str">
        <f t="shared" si="3"/>
        <v>N/A</v>
      </c>
    </row>
    <row r="41" spans="11:11" x14ac:dyDescent="0.25">
      <c r="K41" t="str">
        <f t="shared" si="3"/>
        <v>N/A</v>
      </c>
    </row>
    <row r="42" spans="11:11" x14ac:dyDescent="0.25">
      <c r="K42" t="str">
        <f t="shared" si="3"/>
        <v>N/A</v>
      </c>
    </row>
    <row r="43" spans="11:11" x14ac:dyDescent="0.25">
      <c r="K43" t="str">
        <f t="shared" si="3"/>
        <v>N/A</v>
      </c>
    </row>
    <row r="44" spans="11:11" x14ac:dyDescent="0.25">
      <c r="K44" t="str">
        <f t="shared" si="3"/>
        <v>N/A</v>
      </c>
    </row>
    <row r="45" spans="11:11" x14ac:dyDescent="0.25">
      <c r="K45" t="str">
        <f t="shared" si="3"/>
        <v>N/A</v>
      </c>
    </row>
    <row r="46" spans="11:11" x14ac:dyDescent="0.25">
      <c r="K46" t="str">
        <f t="shared" si="3"/>
        <v>N/A</v>
      </c>
    </row>
    <row r="47" spans="11:11" x14ac:dyDescent="0.25">
      <c r="K47" t="str">
        <f t="shared" si="3"/>
        <v>N/A</v>
      </c>
    </row>
    <row r="48" spans="11:11" x14ac:dyDescent="0.25">
      <c r="K48" t="str">
        <f t="shared" si="3"/>
        <v>N/A</v>
      </c>
    </row>
    <row r="49" spans="11:11" x14ac:dyDescent="0.25">
      <c r="K49" t="str">
        <f t="shared" si="3"/>
        <v>N/A</v>
      </c>
    </row>
    <row r="50" spans="11:11" x14ac:dyDescent="0.25">
      <c r="K50" t="str">
        <f t="shared" si="3"/>
        <v>N/A</v>
      </c>
    </row>
    <row r="51" spans="11:11" x14ac:dyDescent="0.25">
      <c r="K51" t="str">
        <f t="shared" si="3"/>
        <v>N/A</v>
      </c>
    </row>
    <row r="52" spans="11:11" x14ac:dyDescent="0.25">
      <c r="K52" t="str">
        <f t="shared" si="3"/>
        <v>N/A</v>
      </c>
    </row>
    <row r="53" spans="11:11" x14ac:dyDescent="0.25">
      <c r="K53" t="str">
        <f t="shared" si="3"/>
        <v>N/A</v>
      </c>
    </row>
    <row r="54" spans="11:11" x14ac:dyDescent="0.25">
      <c r="K54" t="str">
        <f t="shared" si="3"/>
        <v>N/A</v>
      </c>
    </row>
    <row r="55" spans="11:11" x14ac:dyDescent="0.25">
      <c r="K55" t="str">
        <f t="shared" si="3"/>
        <v>N/A</v>
      </c>
    </row>
    <row r="56" spans="11:11" x14ac:dyDescent="0.25">
      <c r="K56" t="str">
        <f t="shared" si="3"/>
        <v>N/A</v>
      </c>
    </row>
    <row r="57" spans="11:11" x14ac:dyDescent="0.25">
      <c r="K57" t="str">
        <f t="shared" si="3"/>
        <v>N/A</v>
      </c>
    </row>
    <row r="58" spans="11:11" x14ac:dyDescent="0.25">
      <c r="K58" t="str">
        <f t="shared" si="3"/>
        <v>N/A</v>
      </c>
    </row>
    <row r="59" spans="11:11" x14ac:dyDescent="0.25">
      <c r="K59" t="str">
        <f t="shared" si="3"/>
        <v>N/A</v>
      </c>
    </row>
    <row r="60" spans="11:11" x14ac:dyDescent="0.25">
      <c r="K60" t="str">
        <f t="shared" si="3"/>
        <v>N/A</v>
      </c>
    </row>
  </sheetData>
  <mergeCells count="1">
    <mergeCell ref="V1:Z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D12"/>
  <sheetViews>
    <sheetView topLeftCell="A7" zoomScale="158" workbookViewId="0">
      <selection activeCell="D12" sqref="D12"/>
    </sheetView>
  </sheetViews>
  <sheetFormatPr defaultColWidth="8.7109375" defaultRowHeight="15" x14ac:dyDescent="0.25"/>
  <cols>
    <col min="1" max="1" width="16" customWidth="1"/>
    <col min="2" max="2" width="44" customWidth="1"/>
    <col min="3" max="3" width="46" customWidth="1"/>
    <col min="4" max="4" width="28" customWidth="1"/>
  </cols>
  <sheetData>
    <row r="1" spans="1:4" ht="30" customHeight="1" x14ac:dyDescent="0.25">
      <c r="A1" s="52" t="s">
        <v>117</v>
      </c>
      <c r="B1" s="52"/>
      <c r="C1" s="52"/>
      <c r="D1" s="52"/>
    </row>
    <row r="2" spans="1:4" ht="21.75" customHeight="1" x14ac:dyDescent="0.25">
      <c r="A2" s="1" t="s">
        <v>118</v>
      </c>
      <c r="B2" s="1" t="s">
        <v>119</v>
      </c>
      <c r="C2" s="1" t="s">
        <v>120</v>
      </c>
      <c r="D2" s="1" t="s">
        <v>121</v>
      </c>
    </row>
    <row r="3" spans="1:4" ht="25.5" customHeight="1" x14ac:dyDescent="0.25">
      <c r="A3" s="2" t="s">
        <v>57</v>
      </c>
      <c r="B3" s="3" t="s">
        <v>122</v>
      </c>
      <c r="C3" s="3" t="s">
        <v>123</v>
      </c>
      <c r="D3" s="4" t="s">
        <v>124</v>
      </c>
    </row>
    <row r="4" spans="1:4" ht="25.5" customHeight="1" x14ac:dyDescent="0.25">
      <c r="A4" s="5" t="s">
        <v>62</v>
      </c>
      <c r="B4" s="6" t="s">
        <v>125</v>
      </c>
      <c r="C4" s="6" t="s">
        <v>126</v>
      </c>
      <c r="D4" s="7" t="s">
        <v>127</v>
      </c>
    </row>
    <row r="5" spans="1:4" ht="25.5" customHeight="1" x14ac:dyDescent="0.25">
      <c r="A5" s="8" t="s">
        <v>68</v>
      </c>
      <c r="B5" s="9" t="s">
        <v>128</v>
      </c>
      <c r="C5" s="9" t="s">
        <v>129</v>
      </c>
      <c r="D5" s="10" t="s">
        <v>130</v>
      </c>
    </row>
    <row r="6" spans="1:4" ht="25.5" customHeight="1" x14ac:dyDescent="0.25">
      <c r="A6" s="11" t="s">
        <v>72</v>
      </c>
      <c r="B6" s="12" t="s">
        <v>131</v>
      </c>
      <c r="C6" s="12" t="s">
        <v>132</v>
      </c>
      <c r="D6" s="13" t="s">
        <v>133</v>
      </c>
    </row>
    <row r="7" spans="1:4" ht="25.5" customHeight="1" x14ac:dyDescent="0.25">
      <c r="A7" s="2" t="s">
        <v>76</v>
      </c>
      <c r="B7" s="3" t="s">
        <v>134</v>
      </c>
      <c r="C7" s="3" t="s">
        <v>135</v>
      </c>
      <c r="D7" s="4" t="s">
        <v>136</v>
      </c>
    </row>
    <row r="8" spans="1:4" ht="25.5" customHeight="1" x14ac:dyDescent="0.25">
      <c r="A8" s="5" t="s">
        <v>79</v>
      </c>
      <c r="B8" s="6" t="s">
        <v>137</v>
      </c>
      <c r="C8" s="6" t="s">
        <v>138</v>
      </c>
      <c r="D8" s="7" t="s">
        <v>139</v>
      </c>
    </row>
    <row r="9" spans="1:4" ht="25.5" customHeight="1" x14ac:dyDescent="0.25">
      <c r="A9" s="8" t="s">
        <v>83</v>
      </c>
      <c r="B9" s="9" t="s">
        <v>140</v>
      </c>
      <c r="C9" s="9" t="s">
        <v>141</v>
      </c>
      <c r="D9" s="10" t="s">
        <v>142</v>
      </c>
    </row>
    <row r="10" spans="1:4" ht="25.5" customHeight="1" x14ac:dyDescent="0.25">
      <c r="A10" s="11" t="s">
        <v>93</v>
      </c>
      <c r="B10" s="12" t="s">
        <v>143</v>
      </c>
      <c r="C10" s="12" t="s">
        <v>144</v>
      </c>
      <c r="D10" s="13" t="s">
        <v>145</v>
      </c>
    </row>
    <row r="11" spans="1:4" ht="25.5" customHeight="1" x14ac:dyDescent="0.25">
      <c r="A11" s="2" t="s">
        <v>97</v>
      </c>
      <c r="B11" s="3" t="s">
        <v>146</v>
      </c>
      <c r="C11" s="3" t="s">
        <v>147</v>
      </c>
      <c r="D11" s="4" t="s">
        <v>148</v>
      </c>
    </row>
    <row r="12" spans="1:4" ht="25.5" customHeight="1" x14ac:dyDescent="0.25">
      <c r="A12" s="5" t="s">
        <v>104</v>
      </c>
      <c r="B12" s="6" t="s">
        <v>149</v>
      </c>
      <c r="C12" s="6" t="s">
        <v>150</v>
      </c>
      <c r="D12" s="7" t="s">
        <v>151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Sales_Data</vt:lpstr>
      <vt:lpstr>Practice_Tasks</vt:lpstr>
      <vt:lpstr>Quick_Reference</vt:lpstr>
      <vt:lpstr>sales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nehashaikh10@outlook.com</cp:lastModifiedBy>
  <cp:revision>0</cp:revision>
  <dcterms:created xsi:type="dcterms:W3CDTF">2026-04-08T05:33:00Z</dcterms:created>
  <dcterms:modified xsi:type="dcterms:W3CDTF">2026-08-18T07:31:55Z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D47B61C98AB9492790B1411A03869A00_12</vt:lpwstr>
  </property>
  <property fmtid="{D5CDD505-2E9C-101B-9397-08002B2CF9AE}" pid="3" name="KSOProductBuildVer">
    <vt:lpwstr>1033-12.2.0.13215</vt:lpwstr>
  </property>
</Properties>
</file>